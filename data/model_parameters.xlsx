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ad1f0c6d9e5481e" /></Relationships>
</file>

<file path=xl/workbook.xml><?xml version="1.0" encoding="utf-8"?>
<x:workbook xmlns:x="http://schemas.openxmlformats.org/spreadsheetml/2006/main">
  <x:sheets>
    <x:sheet xmlns:r="http://schemas.openxmlformats.org/officeDocument/2006/relationships" name="国别风险模型" sheetId="1" r:id="R25e872d3338041a1"/>
    <x:sheet xmlns:r="http://schemas.openxmlformats.org/officeDocument/2006/relationships" name="评分规则及模型参数" sheetId="2" r:id="R636cc9f504974b97"/>
    <x:sheet xmlns:r="http://schemas.openxmlformats.org/officeDocument/2006/relationships" name="Impact评分规则" sheetId="3" r:id="Rc4ec5b020db247ed"/>
    <x:sheet xmlns:r="http://schemas.openxmlformats.org/officeDocument/2006/relationships" name="Risk Matrix" sheetId="4" r:id="R819e0077011c4538"/>
  </x:sheets>
</x:workbook>
</file>

<file path=xl/sharedStrings.xml><?xml version="1.0" encoding="utf-8"?>
<x:sst xmlns:x="http://schemas.openxmlformats.org/spreadsheetml/2006/main">
  <x:si>
    <x:t xml:space="preserve">国别风险模型（评分监测、阈值与重点复核）</x:t>
  </x:si>
  <x:si>
    <x:t xml:space="preserve">一级风险</x:t>
  </x:si>
  <x:si>
    <x:t xml:space="preserve">一级风险说明</x:t>
  </x:si>
  <x:si>
    <x:t xml:space="preserve">二级风险</x:t>
  </x:si>
  <x:si>
    <x:t xml:space="preserve">二级风险说明</x:t>
  </x:si>
  <x:si>
    <x:t xml:space="preserve">三级风险</x:t>
  </x:si>
  <x:si>
    <x:t xml:space="preserve">三级风险说明</x:t>
  </x:si>
  <x:si>
    <x:t xml:space="preserve">与资金的相关度</x:t>
  </x:si>
  <x:si>
    <x:t xml:space="preserve">主要涉及业务</x:t>
  </x:si>
  <x:si>
    <x:t xml:space="preserve">主要涉及业务说明</x:t>
  </x:si>
  <x:si>
    <x:t xml:space="preserve">权重</x:t>
  </x:si>
  <x:si>
    <x:t xml:space="preserve">风险场景</x:t>
  </x:si>
  <x:si>
    <x:t xml:space="preserve">场景说明</x:t>
  </x:si>
  <x:si>
    <x:t xml:space="preserve">风险指标</x:t>
  </x:si>
  <x:si>
    <x:t xml:space="preserve">计算公式及统计方法</x:t>
  </x:si>
  <x:si>
    <x:t xml:space="preserve">来源</x:t>
  </x:si>
  <x:si>
    <x:t xml:space="preserve">单一指标/模型</x:t>
  </x:si>
  <x:si>
    <x:t xml:space="preserve">频次</x:t>
  </x:si>
  <x:si>
    <x:t xml:space="preserve">阈值设置</x:t>
  </x:si>
  <x:si>
    <x:t xml:space="preserve">参考地址</x:t>
  </x:si>
  <x:si>
    <x:t xml:space="preserve">风险大类</x:t>
  </x:si>
  <x:si>
    <x:t xml:space="preserve">常规监控</x:t>
  </x:si>
  <x:si>
    <x:t xml:space="preserve">重点关注</x:t>
  </x:si>
  <x:si>
    <x:t xml:space="preserve">核心监控</x:t>
  </x:si>
  <x:si>
    <x:t xml:space="preserve">标的物国家风险</x:t>
  </x:si>
  <x:si>
    <x:t xml:space="preserve">国别风险</x:t>
  </x:si>
  <x:si>
    <x:t xml:space="preserve">聚焦东道国国家层面风险，按核心监控维度（政治政策、宏观经济、主权信用、自然环境）与辅助维度（网络、廉洁）分层监测，并联动合规监管与跨境资金财税分支形成完整视图。管控目标是规避主权违约与政治动荡带来的重大损失，重点研判政策突变、经济下行、主权违约与环境恶化等情形。</x:t>
  </x:si>
  <x:si>
    <x:t xml:space="preserve">政治风险</x:t>
  </x:si>
  <x:si>
    <x:t xml:space="preserve">核心监控维度。关注东道国政局稳定性、政策连续性及对华关系等政治层面对投资环境的影响。</x:t>
  </x:si>
  <x:si>
    <x:t xml:space="preserve">政治稳定性风险</x:t>
  </x:si>
  <x:si>
    <x:t xml:space="preserve">东道国因政权更迭、选举争议、政府危机等出现政治局势持续动荡，政府正常履职及社会秩序受到影响，导致项目建设、生产经营及商业活动受阻。</x:t>
  </x:si>
  <x:si>
    <x:t xml:space="preserve">中</x:t>
  </x:si>
  <x:si>
    <x:t xml:space="preserve">国别风险管理、资金预算&amp;计划管理</x:t>
  </x:si>
  <x:si>
    <x:t xml:space="preserve">项目停工或经营受阻导致回款下降、现金流入中断；当地账户支付、资金归集及跨境调拨可能受限，同时安保、撤离等应急支出增加，造成资金滞留和流动性压力，严重时影响债务偿付及项目持续经营。</x:t>
  </x:si>
  <x:si>
    <x:t xml:space="preserve">/</x:t>
  </x:si>
  <x:si>
    <x:t xml:space="preserve">政治稳定性指数</x:t>
  </x:si>
  <x:si>
    <x:t xml:space="preserve">数据引用</x:t>
  </x:si>
  <x:si>
    <x:t xml:space="preserve">世行治理指标政治稳定维度</x:t>
  </x:si>
  <x:si>
    <x:t xml:space="preserve">单一指标</x:t>
  </x:si>
  <x:si>
    <x:t xml:space="preserve">按季</x:t>
  </x:si>
  <x:si>
    <x:t xml:space="preserve">50分位及以上</x:t>
  </x:si>
  <x:si>
    <x:t xml:space="preserve">25至50分位</x:t>
  </x:si>
  <x:si>
    <x:t xml:space="preserve">低于25分位</x:t>
  </x:si>
  <x:si>
    <x:t xml:space="preserve">https://www.worldbank.org/en/publication/worldwide-governance-indicators/interactive-data-access</x:t>
  </x:si>
  <x:si>
    <x:t xml:space="preserve">近十年非正常政权更迭次数</x:t>
  </x:si>
  <x:si>
    <x:t xml:space="preserve">统计评价日前10年内发生的政变、内战或非宪政政权更迭事件总数。</x:t>
  </x:si>
  <x:si>
    <x:t xml:space="preserve">第三方风险机构事件库（定制）</x:t>
  </x:si>
  <x:si>
    <x:t xml:space="preserve">0次</x:t>
  </x:si>
  <x:si>
    <x:t xml:space="preserve">1次</x:t>
  </x:si>
  <x:si>
    <x:t xml:space="preserve">2次及以上</x:t>
  </x:si>
  <x:si>
    <x:t xml:space="preserve">大选时间</x:t>
  </x:si>
  <x:si>
    <x:t xml:space="preserve">监测所在国的大选时间</x:t>
  </x:si>
  <x:si>
    <x:t xml:space="preserve">距大选日期6个月以上</x:t>
  </x:si>
  <x:si>
    <x:t xml:space="preserve">距离选日期1-6个月</x:t>
  </x:si>
  <x:si>
    <x:t xml:space="preserve">距大选日期1个月以内</x:t>
  </x:si>
  <x:si>
    <x:t xml:space="preserve">国家治理能力风险</x:t>
  </x:si>
  <x:si>
    <x:t xml:space="preserve">东道国行政体系低效、多部门推诿、审批链条冗长且时限不可预期，项目核准、牌照与并网等关键节点长期悬置。</x:t>
  </x:si>
  <x:si>
    <x:t xml:space="preserve">提款与用款计划反复顺延，建设期利息、保费及管理成本随工期增加;项目长期停滞造成在建资金沉淀</x:t>
  </x:si>
  <x:si>
    <x:t xml:space="preserve">政府效能百分位</x:t>
  </x:si>
  <x:si>
    <x:t xml:space="preserve">世行WGI政府效能维度</x:t>
  </x:si>
  <x:si>
    <x:t xml:space="preserve">按年</x:t>
  </x:si>
  <x:si>
    <x:t xml:space="preserve">https://www.worldbank.org/en/publication/worldwide-governance-indicators</x:t>
  </x:si>
  <x:si>
    <x:t xml:space="preserve">战争与内乱风险</x:t>
  </x:si>
  <x:si>
    <x:t xml:space="preserve">东道国发生战争、内战、武装冲突、暴乱或恐怖袭击等重大安全事件，造成社会秩序失控、基础设施受损，项目建设及生产经营大范围中断，人员、资产及资金安全面临直接威胁。</x:t>
  </x:si>
  <x:si>
    <x:t xml:space="preserve">当地账户资金可能被冻结、无法支付或无法汇出，项目回款及跨境归集受阻；同时停工、人员撤离、安保及抢险等应急资金需求增加，导致资金沉淀、现金流缺口扩大和流动性压力上升，严重时造成资金损失并影响债务偿付。</x:t>
  </x:si>
  <x:si>
    <x:t xml:space="preserve">UCDP武装冲突强度</x:t>
  </x:si>
  <x:si>
    <x:t xml:space="preserve">统计评价年度内UCDP记录的战斗相关死亡人数（battle-related deaths）。按UCDP定义：年度战斗相关死亡人数＜25人视为未达到武装冲突门槛；25–999人为武装冲突；≥1,000人为战争。若同一国家存在多场冲突，按全国合计死亡人数并结合最高单场冲突强度从高认定。</x:t>
  </x:si>
  <x:si>
    <x:t xml:space="preserve">UCDP Battle-Related Deaths / Armed Conflict Dataset</x:t>
  </x:si>
  <x:si>
    <x:t xml:space="preserve">模型</x:t>
  </x:si>
  <x:si>
    <x:t xml:space="preserve">＜25人/年</x:t>
  </x:si>
  <x:si>
    <x:t xml:space="preserve">25–999人/年</x:t>
  </x:si>
  <x:si>
    <x:t xml:space="preserve">≥1,000人/年</x:t>
  </x:si>
  <x:si>
    <x:t xml:space="preserve">全球恐怖主义指数（GTI）</x:t>
  </x:si>
  <x:si>
    <x:t xml:space="preserve">经济与和平研究所年度报告</x:t>
  </x:si>
  <x:si>
    <x:t xml:space="preserve">低于4分</x:t>
  </x:si>
  <x:si>
    <x:t xml:space="preserve">4至7分</x:t>
  </x:si>
  <x:si>
    <x:t xml:space="preserve">高于7分</x:t>
  </x:si>
  <x:si>
    <x:t xml:space="preserve">地缘政治、外交关系与国际制裁风险</x:t>
  </x:si>
  <x:si>
    <x:t xml:space="preserve">东道国卷入大国博弈或地区冲突，跨境资金链路、供应链与项目合作方连带受限。</x:t>
  </x:si>
  <x:si>
    <x:t xml:space="preserve">国别风险管理、资金结算管理</x:t>
  </x:si>
  <x:si>
    <x:t xml:space="preserve">付款被中间行拒付或冻结、结算通道中断；被迫改道致结算成本上升、周期拉长；合作方被列名后交易被迫终止，履约与资金安排连锁被动。</x:t>
  </x:si>
  <x:si>
    <x:t xml:space="preserve">制裁名单状态</x:t>
  </x:si>
  <x:si>
    <x:t xml:space="preserve">将东道国及主要交易对手与中国、联合国、美国、欧盟制裁名单进行匹配：未命中为常规，命中联合国/美国/欧盟名单为重点，命中国制裁名单为核心。</x:t>
  </x:si>
  <x:si>
    <x:t xml:space="preserve">按日</x:t>
  </x:si>
  <x:si>
    <x:t xml:space="preserve">未涉制裁</x:t>
  </x:si>
  <x:si>
    <x:t xml:space="preserve">涉及美国、欧盟或联合国制裁名单</x:t>
  </x:si>
  <x:si>
    <x:t xml:space="preserve">涉及中国制裁名单</x:t>
  </x:si>
  <x:si>
    <x:t xml:space="preserve">美元清算依赖度</x:t>
  </x:si>
  <x:si>
    <x:t xml:space="preserve">统计东道国币种清算通道数量，并区分出美元通道。</x:t>
  </x:si>
  <x:si>
    <x:t xml:space="preserve">具备多币种清算通道</x:t>
  </x:si>
  <x:si>
    <x:t xml:space="preserve">依赖美元且备选有限</x:t>
  </x:si>
  <x:si>
    <x:t xml:space="preserve">仅美元单一通道</x:t>
  </x:si>
  <x:si>
    <x:t xml:space="preserve">对华关系风险</x:t>
  </x:si>
  <x:si>
    <x:t xml:space="preserve">东道国对华政策发生不利调整，对中资企业投资准入、项目审批、经营许可及资金活动等实施更严格审查或差异化限制，影响境外项目正常经营及资金运作。</x:t>
  </x:si>
  <x:si>
    <x:t xml:space="preserve">提款与用款计划反复顺延，建设期利息、保费及管理成本随工期增加；项目长期停滞造成在建资金沉淀</x:t>
  </x:si>
  <x:si>
    <x:t xml:space="preserve">排华事件</x:t>
  </x:si>
  <x:si>
    <x:t xml:space="preserve">统计东道国历史上发生的排华事件</x:t>
  </x:si>
  <x:si>
    <x:t xml:space="preserve">历史上没有发生过该类事件</x:t>
  </x:si>
  <x:si>
    <x:t xml:space="preserve">历史上有发生过该类事件</x:t>
  </x:si>
  <x:si>
    <x:t xml:space="preserve">历史上有发生过该类事件且在最近5年发生过</x:t>
  </x:si>
  <x:si>
    <x:t xml:space="preserve">近12个月对华限制性政策事件数</x:t>
  </x:si>
  <x:si>
    <x:t xml:space="preserve">滚动统计过去12个月东道国政府针对中国/中资企业新出台或实质收紧的投资准入、国家安全审查、政府采购、许可审批、税费或资金跨境限制事件数；同一政策的重复报道去重。若出现全面禁止、强制退出或针对中资的系统性歧视措施，直接按核心监控认定。</x:t>
  </x:si>
  <x:si>
    <x:t xml:space="preserve">东道国政府公报、监管机构公告、商务部/驻外使领馆及第三方风险事件库</x:t>
  </x:si>
  <x:si>
    <x:t xml:space="preserve">按月</x:t>
  </x:si>
  <x:si>
    <x:t xml:space="preserve">0项</x:t>
  </x:si>
  <x:si>
    <x:t xml:space="preserve">1–2项</x:t>
  </x:si>
  <x:si>
    <x:t xml:space="preserve">≥3项，或出现全面禁止/强制退出等重大措施</x:t>
  </x:si>
  <x:si>
    <x:t xml:space="preserve">经济风险</x:t>
  </x:si>
  <x:si>
    <x:t xml:space="preserve">核心监控维度。关注东道国经济增长、通胀、财政状况及经贸与基础设施条件对项目需求与收益的影响。</x:t>
  </x:si>
  <x:si>
    <x:t xml:space="preserve">结构性风险</x:t>
  </x:si>
  <x:si>
    <x:t xml:space="preserve">关注经济增长与产业结构对项目需求的影响。</x:t>
  </x:si>
  <x:si>
    <x:t xml:space="preserve">售电量与电价双降、收入低于测算；购电方营收恶化导致电费拖欠，电力需求下降或购电方偿付能力减弱，可能导致项目收入下降、回款周期拉长及应收款增加；同时财政收紧、外汇供给下降可能引发本币贬值、资金汇出受限及融资条件恶化，造成项目经营现金流减少、资金缺口扩大和偿债压力上升。
出口收入下降或进口需求上升可能导致外汇供给收紧、本币贬值及汇兑成本上升，项目进口设备、原材料及债务偿付的外币资金需求增加；严重时可能出现外汇兑换及跨境汇款受限，造成资金成本上升、现金流缺口扩大和偿债压力增加。</x:t>
  </x:si>
  <x:si>
    <x:t xml:space="preserve">产业结构风险</x:t>
  </x:si>
  <x:si>
    <x:t xml:space="preserve">东道国产业结构较为单一，经济增长、财政收入高度依赖少数行业，相关产业景气度下降时，可能同步影响电力需求、政府财政能力及购电方经营状况。</x:t>
  </x:si>
  <x:si>
    <x:t xml:space="preserve">产业集中度</x:t>
  </x:si>
  <x:si>
    <x:t xml:space="preserve">按东道国国民经济行业增加值占GDP比重计算赫芬达尔—赫希曼指数（HHI）：HHI=Σsᵢ²，其中sᵢ为各主要行业增加值占GDP的比重（以小数计）。行业分类口径应保持年度一致；HHI越高，表示经济活动越集中于少数行业、产业结构韧性越弱。</x:t>
  </x:si>
  <x:si>
    <x:t xml:space="preserve">东道国统计局/国民账户；World Bank WDI（辅助）</x:t>
  </x:si>
  <x:si>
    <x:t xml:space="preserve">HHI＜0.18</x:t>
  </x:si>
  <x:si>
    <x:t xml:space="preserve">0.18≤HHI＜0.25</x:t>
  </x:si>
  <x:si>
    <x:t xml:space="preserve">HHI≥0.25</x:t>
  </x:si>
  <x:si>
    <x:t xml:space="preserve">贸易结构风险</x:t>
  </x:si>
  <x:si>
    <x:t xml:space="preserve">东道国进出口结构较为单一，对少数出口商品、进口物资或主要贸易伙伴依赖较高，国际贸易环境、商品价格或主要贸易关系发生变化时，可能对外贸收入、外汇供给及国内生产经营形成较大冲击。</x:t>
  </x:si>
  <x:si>
    <x:t xml:space="preserve">出口集中度（HHI）</x:t>
  </x:si>
  <x:si>
    <x:t xml:space="preserve">采用UNCTAD Export Product Concentration Index。该指标基于各类出口商品占一国商品出口总额的比重计算标准化Herfindahl-Hirschman集中度指数，取值0–1；数值越高表示出口越集中于少数商品，对特定商品需求及价格冲击的敏感性越高。</x:t>
  </x:si>
  <x:si>
    <x:t xml:space="preserve">前三大商品占比低于40%</x:t>
  </x:si>
  <x:si>
    <x:t xml:space="preserve">40%至70%</x:t>
  </x:si>
  <x:si>
    <x:t xml:space="preserve">高于70%</x:t>
  </x:si>
  <x:si>
    <x:t xml:space="preserve">通货膨胀风险</x:t>
  </x:si>
  <x:si>
    <x:t xml:space="preserve">东道国高通胀侵蚀本币购买力，项目本币成本刚性上涨、本币收入实际价值持续缩水。</x:t>
  </x:si>
  <x:si>
    <x:t xml:space="preserve">运维与人工成本逐年抬升、超出预算；本币电费收入实际价值缩水；本币留存越久贬损越大，实际收益率低于名义测算。</x:t>
  </x:si>
  <x:si>
    <x:t xml:space="preserve">CPI通胀率</x:t>
  </x:si>
  <x:si>
    <x:t xml:space="preserve">（本期CPI指数－上年同期CPI指数）÷上年同期CPI指数×100%</x:t>
  </x:si>
  <x:si>
    <x:t xml:space="preserve">IMF</x:t>
  </x:si>
  <x:si>
    <x:t xml:space="preserve">低于5%</x:t>
  </x:si>
  <x:si>
    <x:t xml:space="preserve">5%至15%</x:t>
  </x:si>
  <x:si>
    <x:t xml:space="preserve">高于15%</x:t>
  </x:si>
  <x:si>
    <x:t xml:space="preserve">基础设施风险</x:t>
  </x:si>
  <x:si>
    <x:t xml:space="preserve">东道国电网、道路、港口等配套薄弱，送出工程滞后、物流不畅，项目投产与运营受外部配套牵制。</x:t>
  </x:si>
  <x:si>
    <x:t xml:space="preserve">电站建成等待并网、资金沉淀无收入；限电弃电致收入低于测算；物流不畅推高建设与运维成本。</x:t>
  </x:si>
  <x:si>
    <x:t xml:space="preserve">物流等基础设施</x:t>
  </x:si>
  <x:si>
    <x:t xml:space="preserve">世行物流绩效指数</x:t>
  </x:si>
  <x:si>
    <x:t xml:space="preserve">5分</x:t>
  </x:si>
  <x:si>
    <x:t xml:space="preserve">3-4分</x:t>
  </x:si>
  <x:si>
    <x:t xml:space="preserve">1-2分</x:t>
  </x:si>
  <x:si>
    <x:t xml:space="preserve">https://data.worldbank.org.cn/indicator/LP.LPI.INFR.XQ</x:t>
  </x:si>
  <x:si>
    <x:t xml:space="preserve">宏观经济增长风险</x:t>
  </x:si>
  <x:si>
    <x:t xml:space="preserve">东道国经济增长持续放缓或出现衰退，投资、消费及生产活动收缩，企业经营和政府财政承压，导致市场需求下降、项目经营环境恶化。</x:t>
  </x:si>
  <x:si>
    <x:t xml:space="preserve">收入下降、回款周期拉长及应收款增加，经营现金流减少；同时授信额度可能收缩、融资成本上升或再融资难度增加，导致资金缺口扩大、流动性压力上升，严重时影响到期债务偿付和项目持续经营。</x:t>
  </x:si>
  <x:si>
    <x:t xml:space="preserve">GDP增速</x:t>
  </x:si>
  <x:si>
    <x:t xml:space="preserve">（本期实际GDP－上年同期实际GDP）÷上年同期实际GDP×100%。</x:t>
  </x:si>
  <x:si>
    <x:t xml:space="preserve">4%及以上</x:t>
  </x:si>
  <x:si>
    <x:t xml:space="preserve">1.5%至4%</x:t>
  </x:si>
  <x:si>
    <x:t xml:space="preserve">低于1.5%或负增长</x:t>
  </x:si>
  <x:si>
    <x:t xml:space="preserve">政府财政风险</x:t>
  </x:si>
  <x:si>
    <x:t xml:space="preserve">东道国财政赤字与政府债务高企，政府补贴停发、国有购电方支付能力恶化，主权支付链条整体承压。</x:t>
  </x:si>
  <x:si>
    <x:t xml:space="preserve">电费拖欠账龄系统性拉长（加纳国有购电方拖欠多发）；政府补贴与担保支撑力同步弱化；应收滚存难以收回、损失集中暴露。</x:t>
  </x:si>
  <x:si>
    <x:t xml:space="preserve">财政赤字率</x:t>
  </x:si>
  <x:si>
    <x:t xml:space="preserve">一般政府财政赤字绝对额÷名义GDP×100%。</x:t>
  </x:si>
  <x:si>
    <x:t xml:space="preserve">低于3%</x:t>
  </x:si>
  <x:si>
    <x:t xml:space="preserve">3%至6%</x:t>
  </x:si>
  <x:si>
    <x:t xml:space="preserve">高于6%</x:t>
  </x:si>
  <x:si>
    <x:t xml:space="preserve">政府债务率</x:t>
  </x:si>
  <x:si>
    <x:t xml:space="preserve">一般政府债务余额÷名义GDP×100%。</x:t>
  </x:si>
  <x:si>
    <x:t xml:space="preserve">低于60%</x:t>
  </x:si>
  <x:si>
    <x:t xml:space="preserve">60%至90%</x:t>
  </x:si>
  <x:si>
    <x:t xml:space="preserve">高于90%</x:t>
  </x:si>
  <x:si>
    <x:t xml:space="preserve">外汇储备风险</x:t>
  </x:si>
  <x:si>
    <x:t xml:space="preserve">东道国外汇储备不足、外汇管制收紧，换汇额度受限、汇出审批久拖，利润与本金汇回通道持续收窄。</x:t>
  </x:si>
  <x:si>
    <x:t xml:space="preserve">利润与股东借款本息滞留境外（加纳塞地贬值叠加汇回困难、老挝基普持续贬值），滞留期间本币贬损与再管制风险叠加；集团现金归集缺口需境内融资弥补，形成双重资金成本。</x:t>
  </x:si>
  <x:si>
    <x:t xml:space="preserve">外汇储备进口覆盖月数</x:t>
  </x:si>
  <x:si>
    <x:t xml:space="preserve">外汇储备进口覆盖月数＝官方储备资产÷年度商品和服务进口额×12。采用World Bank/IMF “Total reserves in months of imports”口径，分子与分母统一折算为同一计价货币，无需按储备币种分别计算；指标越低，表明外汇储备对进口支付的覆盖能力越弱。</x:t>
  </x:si>
  <x:si>
    <x:t xml:space="preserve">IMF International Financial Statistics / World Bank WDI</x:t>
  </x:si>
  <x:si>
    <x:t xml:space="preserve">≥6个月</x:t>
  </x:si>
  <x:si>
    <x:t xml:space="preserve">3–6个月</x:t>
  </x:si>
  <x:si>
    <x:t xml:space="preserve">＜3个月</x:t>
  </x:si>
  <x:si>
    <x:t xml:space="preserve">3年平均贸易差额占GDP比重及恶化趋势</x:t>
  </x:si>
  <x:si>
    <x:t xml:space="preserve">①年度贸易差额占GDP比重＝（商品及服务出口额－商品及服务进口额）÷GDP×100%；
②3年平均贸易差额占GDP比重＝最近3年年度贸易差额占GDP比重的算术平均值；
③恶化趋势＝最新年度贸易差额占GDP比重－两年前贸易差额占GDP比重。若结果为负，表示贸易收支恶化。综合3年平均水平与恶化趋势确定风险等级。</x:t>
  </x:si>
  <x:si>
    <x:t xml:space="preserve">≥0%+3年未明显恶化</x:t>
  </x:si>
  <x:si>
    <x:t xml:space="preserve">0～-5% 或3年恶化 2–5个百分点</x:t>
  </x:si>
  <x:si>
    <x:t xml:space="preserve">或3年恶化 ≥5个百分点</x:t>
  </x:si>
  <x:si>
    <x:t xml:space="preserve">主权信用风险</x:t>
  </x:si>
  <x:si>
    <x:t xml:space="preserve">政府担保实质失效、购电方付款停摆；融资协议评级挂钩条款被触发、面临强制提前还款；外汇管制升级致资金汇出冻结，境外资金整体滞留。</x:t>
  </x:si>
  <x:si>
    <x:t xml:space="preserve">高</x:t>
  </x:si>
  <x:si>
    <x:t xml:space="preserve">国别风险管理、外汇管理</x:t>
  </x:si>
  <x:si>
    <x:t xml:space="preserve">国别评分识别主权信用；外储不足直接限制换汇容量与汇出额度。</x:t>
  </x:si>
  <x:si>
    <x:t xml:space="preserve">主权债务违约风险</x:t>
  </x:si>
  <x:si>
    <x:t xml:space="preserve">东道国主权债务违约或进入重组，主权信用崩塌沿政府担保、国有购电方、银行体系、外汇管制四条链路同时传导至项目资金安全。</x:t>
  </x:si>
  <x:si>
    <x:t xml:space="preserve">主权信用评级（三大机构取最低）</x:t>
  </x:si>
  <x:si>
    <x:t xml:space="preserve">将标普、穆迪、惠誉长期外币主权评级映射至统一评级序列，取三家评级中的最低等级。</x:t>
  </x:si>
  <x:si>
    <x:t xml:space="preserve">三大评级机构</x:t>
  </x:si>
  <x:si>
    <x:t xml:space="preserve">投资级</x:t>
  </x:si>
  <x:si>
    <x:t xml:space="preserve">投机级至B-</x:t>
  </x:si>
  <x:si>
    <x:t xml:space="preserve">CCC级及以下或违约</x:t>
  </x:si>
  <x:si>
    <x:t xml:space="preserve">主权CDS利差</x:t>
  </x:si>
  <x:si>
    <x:t xml:space="preserve">彭博</x:t>
  </x:si>
  <x:si>
    <x:t xml:space="preserve">按周</x:t>
  </x:si>
  <x:si>
    <x:t xml:space="preserve">低于300基点</x:t>
  </x:si>
  <x:si>
    <x:t xml:space="preserve">300至600基点</x:t>
  </x:si>
  <x:si>
    <x:t xml:space="preserve">高于600基点</x:t>
  </x:si>
  <x:si>
    <x:t xml:space="preserve">外债占GDP比重</x:t>
  </x:si>
  <x:si>
    <x:t xml:space="preserve">全口径外债余额÷名义GDP×100%。</x:t>
  </x:si>
  <x:si>
    <x:t xml:space="preserve">世行国际债务统计（DOD)</x:t>
  </x:si>
  <x:si>
    <x:t xml:space="preserve">低于40%</x:t>
  </x:si>
  <x:si>
    <x:t xml:space="preserve">40%至60%</x:t>
  </x:si>
  <x:si>
    <x:t xml:space="preserve">高于60%</x:t>
  </x:si>
  <x:si>
    <x:t xml:space="preserve">政府担保履约风险（已获取政府增信时）</x:t>
  </x:si>
  <x:si>
    <x:t xml:space="preserve">东道国政府或国有机构对购电付款、最低收益的担保承诺不获履行，担保的法律效力与财政支撑双重落空。</x:t>
  </x:si>
  <x:si>
    <x:t xml:space="preserve">政府担保履约保障及历史记录</x:t>
  </x:si>
  <x:si>
    <x:t xml:space="preserve">综合评估政府担保的财政保障及历史履约情况：①核查政府担保是否具有明确法律效力，并纳入财政预算、专项资金或其他财政支付安排；②核查近10年政府担保是否发生延迟履约、拒绝履约、担保重组或代偿困难事件；③参考公共及公共担保债务（PPG）规模及偿债压力。根据财政保障机制与历史履约记录综合确定风险等级。</x:t>
  </x:si>
  <x:si>
    <x:t xml:space="preserve">东道国财政部/债务管理办公室、政府预算及财政风险报告
World Bank International Debt Statistics（IDS）</x:t>
  </x:si>
  <x:si>
    <x:t xml:space="preserve">担保覆盖的应收与偿债缺口回归项目自身承担；追偿程序旷日持久、执行高度不确定；集团被迫代偿或增资，或有负债显性化。</x:t>
  </x:si>
  <x:si>
    <x:t xml:space="preserve">国别风险管理、境外融资管理</x:t>
  </x:si>
  <x:si>
    <x:t xml:space="preserve">国别评分识别财政支撑力；政府担保属融资增信安排，由担保台账跟踪。</x:t>
  </x:si>
  <x:si>
    <x:t xml:space="preserve">金融体系脆弱性风险</x:t>
  </x:si>
  <x:si>
    <x:t xml:space="preserve">东道国银行体系脆弱，开户行评级下调、挤兑或被监管接管，境外存放资金面临冻结与损失。</x:t>
  </x:si>
  <x:si>
    <x:t xml:space="preserve">银行业不良率</x:t>
  </x:si>
  <x:si>
    <x:t xml:space="preserve">银行业不良贷款余额÷银行业贷款总额×100%。</x:t>
  </x:si>
  <x:si>
    <x:t xml:space="preserve">5%至10%</x:t>
  </x:si>
  <x:si>
    <x:t xml:space="preserve">高于10%</x:t>
  </x:si>
  <x:si>
    <x:t xml:space="preserve">存放资金被冻结或折价受偿；收付款通道中断致经营停摆；转存不及时时损失扩大，境外资金安全底线被击穿。</x:t>
  </x:si>
  <x:si>
    <x:t xml:space="preserve">国别风险管理、合作金融机构管理</x:t>
  </x:si>
  <x:si>
    <x:t xml:space="preserve">国别评分识别银行体系健康；抓手在开户行准入评价与存放集中度。</x:t>
  </x:si>
  <x:si>
    <x:t xml:space="preserve">资本充足率</x:t>
  </x:si>
  <x:si>
    <x:t xml:space="preserve">第三方风险机构事件库（IMF金融稳健指标）</x:t>
  </x:si>
  <x:si>
    <x:t xml:space="preserve">高于监管要求2个百分点以上</x:t>
  </x:si>
  <x:si>
    <x:t xml:space="preserve">达标但缓冲不足</x:t>
  </x:si>
  <x:si>
    <x:t xml:space="preserve">低于监管要求</x:t>
  </x:si>
  <x:si>
    <x:t xml:space="preserve">社会风险</x:t>
  </x:si>
  <x:si>
    <x:t xml:space="preserve">核心监控维度。关注自然灾害、水文气候及公共卫生等对项目安全与产出的影响。</x:t>
  </x:si>
  <x:si>
    <x:t xml:space="preserve">自然灾害与水文气候变化风险</x:t>
  </x:si>
  <x:si>
    <x:t xml:space="preserve">地震、洪水、气旋等灾害损毁资产、中断运营，水电项目来水长期偏离设计假设、丰枯波动加剧，现金流的自然基础动摇。</x:t>
  </x:si>
  <x:si>
    <x:t xml:space="preserve">资产损失与停产收入中断双重冲击，修复支出集中发生；发电量低于设计值致收入长期低于测算（巴新拉姆为水电项目，来水直接决定现金流）；连续枯水年偿债覆盖率跌破契约阈值，项目估值与回收预期整体下调。</x:t>
  </x:si>
  <x:si>
    <x:t xml:space="preserve">灾害频度与烈度</x:t>
  </x:si>
  <x:si>
    <x:t xml:space="preserve">INFORM Risk Index（Natural Hazard）</x:t>
  </x:si>
  <x:si>
    <x:t xml:space="preserve">1.0-5.0分</x:t>
  </x:si>
  <x:si>
    <x:t xml:space="preserve">5.1-6.5分</x:t>
  </x:si>
  <x:si>
    <x:t xml:space="preserve">6.6-10分</x:t>
  </x:si>
  <x:si>
    <x:t xml:space="preserve">https://drmkc.jrc.ec.europa.eu/inform-index/INFORM-Risk/Results-and-data</x:t>
  </x:si>
  <x:si>
    <x:t xml:space="preserve">粮食与能源短缺风险</x:t>
  </x:si>
  <x:si>
    <x:t xml:space="preserve">东道国因供给不足、进口受限、极端天气或国际市场波动等出现粮食、燃料及基础能源短缺，导致相关商品价格大幅上涨，并可能引发通胀加剧、供应中断及社会经济活动受限。</x:t>
  </x:si>
  <x:si>
    <x:t xml:space="preserve">项目采购及运营支出增加，外币支付需求和营运资金占用上升，导致经营现金流减少、资金缺口扩大；同时通胀及汇率波动可能进一步推高融资和换汇成本，加大项目流动性及偿债压力。</x:t>
  </x:si>
  <x:si>
    <x:t xml:space="preserve">食品与能源进口依赖度</x:t>
  </x:si>
  <x:si>
    <x:t xml:space="preserve">分别计算：①食品进口依赖率=食品进口量÷（国内生产量＋进口量－出口量）×100%（FAO口径）；②能源净进口依赖率=（能源进口－能源出口）÷国内能源使用量×100%（世行/IEA口径）。按两项中风险较高者确定等级；负值表示能源净出口。</x:t>
  </x:si>
  <x:si>
    <x:t xml:space="preserve">FAO Food Balance Sheets；World Bank WDI / IEA</x:t>
  </x:si>
  <x:si>
    <x:t xml:space="preserve">两项均＜30%</x:t>
  </x:si>
  <x:si>
    <x:t xml:space="preserve">任一项30%–50%</x:t>
  </x:si>
  <x:si>
    <x:t xml:space="preserve">任一项≥50%</x:t>
  </x:si>
  <x:si>
    <x:t xml:space="preserve">https://ghsindex.org/global/</x:t>
  </x:si>
  <x:si>
    <x:t xml:space="preserve">传染病风险</x:t>
  </x:si>
  <x:si>
    <x:t xml:space="preserve">东道国发生大规模传染病疫情或公共卫生事件，政府采取人员流动限制、停工停产、交通管制等措施，导致项目建设运营、供应链及商业活动受到影响。</x:t>
  </x:si>
  <x:si>
    <x:t xml:space="preserve">项目收入下降、回款周期拉长，防疫、人员保障及供应链等支出增加，造成经营现金流承压；同时资金调拨、支付结算和融资可能受阻，导致现金流缺口扩大、流动性压力上升，严重时影响到期债务偿付和项目持续运营。</x:t>
  </x:si>
  <x:si>
    <x:t xml:space="preserve">公共卫生安全指数</x:t>
  </x:si>
  <x:si>
    <x:t xml:space="preserve">GHS Index</x:t>
  </x:si>
  <x:si>
    <x:t xml:space="preserve">50分及以上</x:t>
  </x:si>
  <x:si>
    <x:t xml:space="preserve">35至50分</x:t>
  </x:si>
  <x:si>
    <x:t xml:space="preserve">低于35分</x:t>
  </x:si>
  <x:si>
    <x:t xml:space="preserve">社会治安风险</x:t>
  </x:si>
  <x:si>
    <x:t xml:space="preserve">东道国社会治安较差，抢劫、盗窃、绑架、勒索、诈骗及有组织犯罪等事件频发，可能威胁项目人员和资产安全，并干扰项目正常生产经营及资金活动。</x:t>
  </x:si>
  <x:si>
    <x:t xml:space="preserve">可能造成现金被盗及异常资金流出等直接资金损失；同时安保、人员撤离及保险等支出增加，严重时还可能导致项目经营中断、回款延迟和现金流承压。</x:t>
  </x:si>
  <x:si>
    <x:t xml:space="preserve">故意杀人率（每10万人）</x:t>
  </x:si>
  <x:si>
    <x:t xml:space="preserve">故意杀人率=年度故意杀人受害人数÷年中总人口×100,000。采用UNODC/世行SDG 16.1.1口径；阈值以UNODC 2021年全球约5.8/10万人为基准，10/10万人以上视为显著高于全球水平。</x:t>
  </x:si>
  <x:si>
    <x:t xml:space="preserve">UNODC / World Bank WDI</x:t>
  </x:si>
  <x:si>
    <x:t xml:space="preserve">＜5/10万人</x:t>
  </x:si>
  <x:si>
    <x:t xml:space="preserve">5–10/10万人</x:t>
  </x:si>
  <x:si>
    <x:t xml:space="preserve">＞10/10万人</x:t>
  </x:si>
  <x:si>
    <x:t xml:space="preserve">属地治安等级</x:t>
  </x:si>
  <x:si>
    <x:t xml:space="preserve">外交部海外安全风险等级</x:t>
  </x:si>
  <x:si>
    <x:t xml:space="preserve">蓝色（低风险）</x:t>
  </x:si>
  <x:si>
    <x:t xml:space="preserve">黄色（高风险）</x:t>
  </x:si>
  <x:si>
    <x:t xml:space="preserve">红色（极高风险）
橙色（较高风险）</x:t>
  </x:si>
  <x:si>
    <x:t xml:space="preserve">绑架案发记录</x:t>
  </x:si>
  <x:si>
    <x:t xml:space="preserve">统计最近10年内东道国发生的涉外绑架事件数量，并识别是否存在针对中资企业或人员的案例。</x:t>
  </x:si>
  <x:si>
    <x:t xml:space="preserve">无涉外绑架记录</x:t>
  </x:si>
  <x:si>
    <x:t xml:space="preserve">有涉外绑架记录</x:t>
  </x:si>
  <x:si>
    <x:t xml:space="preserve">有涉外绑架记录且有针对中资案例</x:t>
  </x:si>
  <x:si>
    <x:t xml:space="preserve">文化风险</x:t>
  </x:si>
  <x:si>
    <x:t xml:space="preserve">对中资品牌接纳风险</x:t>
  </x:si>
  <x:si>
    <x:t xml:space="preserve">东道国消费者、客户、政府机构或商业合作方对中资企业及中资品牌认可度较低，受舆论环境、市场偏好或品牌认知等因素影响，可能降低中资项目的市场接受度和商业合作意愿。</x:t>
  </x:si>
  <x:si>
    <x:t xml:space="preserve">市场拓展、品牌维护及客户获取成本可能上升，进一步增加资金支出和流动性压力，严重时影响投资回收及债务偿付。</x:t>
  </x:si>
  <x:si>
    <x:t xml:space="preserve">对华净好感度</x:t>
  </x:si>
  <x:si>
    <x:t xml:space="preserve">基于Pew、Afrobarometer、Arab Barometer或属地权威民调中对中国/中国企业的态度数据计算：净好感度=“好感/正面”受访者占比－“反感/负面”受访者占比；仅使用有效回答，优先采用最近12个月调查。若无可比民调，则以近12个月中资相关负面舆情占比作为替代指标。</x:t>
  </x:si>
  <x:si>
    <x:t xml:space="preserve">Pew Research / Afrobarometer / Arab Barometer / 属地权威民调</x:t>
  </x:si>
  <x:si>
    <x:t xml:space="preserve">按年及重大事件后</x:t>
  </x:si>
  <x:si>
    <x:t xml:space="preserve">净好感度≥0</x:t>
  </x:si>
  <x:si>
    <x:t xml:space="preserve">-20个百分点≤净好感度＜0</x:t>
  </x:si>
  <x:si>
    <x:t xml:space="preserve">净好感度＜-20个百分点，或出现持续性抵制中资事件</x:t>
  </x:si>
  <x:si>
    <x:t xml:space="preserve">语言壁垒风险</x:t>
  </x:si>
  <x:si>
    <x:t xml:space="preserve">东道国以小语种作为主要官方或商业语言，银行、监管机构及交易对手提供的合同、制度、通知和业务资料多以当地语言出具，项目团队在专业财资事项沟通和文件理解方面存在较高障碍。</x:t>
  </x:si>
  <x:si>
    <x:t xml:space="preserve">可能造成付款、资金调拨、账户管理及融资业务办理错误或延误，并可能因对银行条款或监管要求理解不准确产生额外费用、违约责任或合规处罚，影响资金使用效率和资金安全。</x:t>
  </x:si>
  <x:si>
    <x:t xml:space="preserve">EF英语熟练度指数（EF EPI）</x:t>
  </x:si>
  <x:si>
    <x:t xml:space="preserve">采用EF EPI国家得分。EF EPI基于成人英语测试并以三年滚动平均形成国家分数；按官方能力分档进行风险映射：500分及以上为中等及以上熟练度，450–499为低熟练度，低于450为很低熟练度。若英语为官方/主要商业语言，可按常规监控处理。</x:t>
  </x:si>
  <x:si>
    <x:t xml:space="preserve">EF English Proficiency Index</x:t>
  </x:si>
  <x:si>
    <x:t xml:space="preserve">≥500分，或英语为官方/主要商业语言</x:t>
  </x:si>
  <x:si>
    <x:t xml:space="preserve">450–499分</x:t>
  </x:si>
  <x:si>
    <x:t xml:space="preserve">＜450分</x:t>
  </x:si>
  <x:si>
    <x:t xml:space="preserve">宗教与文化差异风险</x:t>
  </x:si>
  <x:si>
    <x:t xml:space="preserve">东道国宗教信仰、社会文化及商业习惯与国内存在较大差异，相关宗教规范可能影响工作时间、合同履约、支付结算及金融活动，增加境外项目经营管理和资金运作的复杂性。</x:t>
  </x:si>
  <x:si>
    <x:t xml:space="preserve">可能造成付款结算延误、融资方案无法落地或融资成本上升，影响账户、担保及资金调拨等业务正常开展；严重时可能引发合同履约争议或合规问题，增加资金占用并降低资金运作效率。</x:t>
  </x:si>
  <x:si>
    <x:t xml:space="preserve">宗教社会敌对指数（SHI）</x:t>
  </x:si>
  <x:si>
    <x:t xml:space="preserve">采用Pew Research Social Hostilities Index（0–10分），衡量社会层面由宗教引发的敌对、暴力与冲突。按Pew既定分档：0–1.4为低，1.5–3.5为中等，3.6及以上为高/很高；分数越高代表宗教社会摩擦越强。</x:t>
  </x:si>
  <x:si>
    <x:t xml:space="preserve">Pew Research Center</x:t>
  </x:si>
  <x:si>
    <x:t xml:space="preserve">0–1.4</x:t>
  </x:si>
  <x:si>
    <x:t xml:space="preserve">1.5–3.5</x:t>
  </x:si>
  <x:si>
    <x:t xml:space="preserve">≥3.6</x:t>
  </x:si>
  <x:si>
    <x:t xml:space="preserve">网络风险</x:t>
  </x:si>
  <x:si>
    <x:t xml:space="preserve">辅助维度。关注东道国国家级网络威胁环境对项目工控、财资IT与支付安全的影响。</x:t>
  </x:si>
  <x:si>
    <x:t xml:space="preserve">间谍活动风险</x:t>
  </x:si>
  <x:si>
    <x:t xml:space="preserve">关注国家支持或有组织实施的网络渗透、网络间谍及敏感信息窃取活动，可能导致项目经营、财务及资金相关敏感信息被非法获取。</x:t>
  </x:si>
  <x:si>
    <x:t xml:space="preserve">低</x:t>
  </x:si>
  <x:si>
    <x:t xml:space="preserve">资金数据外泄致商业谈判被动；账户信息被利用实施定向欺诈；数据合规调查牵连资金运营中断。</x:t>
  </x:si>
  <x:si>
    <x:t xml:space="preserve">全球网络安全指数</x:t>
  </x:si>
  <x:si>
    <x:t xml:space="preserve">86-100</x:t>
  </x:si>
  <x:si>
    <x:t xml:space="preserve">23-85</x:t>
  </x:si>
  <x:si>
    <x:t xml:space="preserve">0-22</x:t>
  </x:si>
  <x:si>
    <x:t xml:space="preserve">https://www.itu.int/en/ITU-D/Cybersecurity/Documents/GCIv5/2401416_1b_Global-Cybersecurity-Index-E.pdf</x:t>
  </x:si>
  <x:si>
    <x:t xml:space="preserve">网络勒索风险</x:t>
  </x:si>
  <x:si>
    <x:t xml:space="preserve">支付中断致工资、电费与到期债务无法按期支付，触发违约与滞纳成本；恢复期业务停摆；赎金与修复支出计划外发生。</x:t>
  </x:si>
  <x:si>
    <x:t xml:space="preserve">勒索攻击案发水平</x:t>
  </x:si>
  <x:si>
    <x:t xml:space="preserve">统计近12个月东道国勒索软件攻击事件数量及针对能源、金融基础设施的事件数量，并按低发、多发、攻击活跃进行分档。</x:t>
  </x:si>
  <x:si>
    <x:t xml:space="preserve">没有发生过攻击</x:t>
  </x:si>
  <x:si>
    <x:t xml:space="preserve">发生过1次攻击</x:t>
  </x:si>
  <x:si>
    <x:t xml:space="preserve">发生过2次及以上攻击</x:t>
  </x:si>
  <x:si>
    <x:t xml:space="preserve">数据泄露风险</x:t>
  </x:si>
  <x:si>
    <x:t xml:space="preserve">可能形成不合理中介费、顾问费及其他异常资金流出，并面临罚款、追缴、账户冻结及交易暂停等后果；涉贿事件还可能导致银行和融资机构提高合规审查强度、压缩授信或提前终止合作，推高融资与资金运营成本。</x:t>
  </x:si>
  <x:si>
    <x:t xml:space="preserve">泄露事件记录</x:t>
  </x:si>
  <x:si>
    <x:t xml:space="preserve">统计近12个月涉项目、能源行业及金融支付领域的数据泄露事件；</x:t>
  </x:si>
  <x:si>
    <x:t xml:space="preserve">没有发生过泄露</x:t>
  </x:si>
  <x:si>
    <x:t xml:space="preserve">发生过1次泄露</x:t>
  </x:si>
  <x:si>
    <x:t xml:space="preserve">发生过2次及以上泄露</x:t>
  </x:si>
  <x:si>
    <x:t xml:space="preserve">廉洁风险</x:t>
  </x:si>
  <x:si>
    <x:t xml:space="preserve">辅助维度。关注东道国腐败水平、合规文化与金融犯罪对交易对手管控及经营成本的影响。</x:t>
  </x:si>
  <x:si>
    <x:t xml:space="preserve">政府腐败风险</x:t>
  </x:si>
  <x:si>
    <x:t xml:space="preserve">东道国政商腐败普遍，中介索贿、官员寻租渗透于审批、采购与结算环节，付款链条暴露于商业贿赂风险。</x:t>
  </x:si>
  <x:si>
    <x:t xml:space="preserve">中介与顾问费虚高、资金滴漏；卷入商业贿赂致账户冻结与罚款；集团声誉受损连带融资成本上升。</x:t>
  </x:si>
  <x:si>
    <x:t xml:space="preserve">控制腐败百分位（WGI）</x:t>
  </x:si>
  <x:si>
    <x:t xml:space="preserve">直接引用世界银行Worldwide Governance Indicators的Control of Corruption百分位排名。该指标衡量公共权力被用于私人利益、大小额腐败以及利益集团俘获国家的感知程度；百分位0为最低、100为最高。</x:t>
  </x:si>
  <x:si>
    <x:t xml:space="preserve">World Bank Worldwide Governance Indicators</x:t>
  </x:si>
  <x:si>
    <x:t xml:space="preserve">≥50分位</x:t>
  </x:si>
  <x:si>
    <x:t xml:space="preserve">25–50分位</x:t>
  </x:si>
  <x:si>
    <x:t xml:space="preserve">＜25分位</x:t>
  </x:si>
  <x:si>
    <x:t xml:space="preserve">https://www.fatf-gafi.org/en/countries/black-and-grey-lists.html</x:t>
  </x:si>
  <x:si>
    <x:t xml:space="preserve">属地金融犯罪风险</x:t>
  </x:si>
  <x:si>
    <x:t xml:space="preserve">项目东道国第三方主体实施商业欺诈、资产侵占、索贿、票据诈骗、虚假交易、非法外汇交易等金融与经济犯罪，或利用项目交易、支付和资产管理环节侵占、骗取资金，导致境外项目遭受财产损失。</x:t>
  </x:si>
  <x:si>
    <x:t xml:space="preserve">可能造成现金、存款、应收款、票据或其他资产被侵占、骗取形成直接损失，且跨境止付和司法追索难度较高；涉及非法外汇、虚假交易等情形时，还可能导致账户冻结、支付通道受限和反洗钱调查，影响项目正常资金周转。</x:t>
  </x:si>
  <x:si>
    <x:t xml:space="preserve">金融欺诈与网络诈骗水平</x:t>
  </x:si>
  <x:si>
    <x:t xml:space="preserve">统计近12个月涉项目、能源行业及金融领域的欺诈；</x:t>
  </x:si>
  <x:si>
    <x:t xml:space="preserve">发生过1次诈骗</x:t>
  </x:si>
  <x:si>
    <x:t xml:space="preserve">发生过2次及以上诈骗</x:t>
  </x:si>
  <x:si>
    <x:t xml:space="preserve">FATF名单状态</x:t>
  </x:si>
  <x:si>
    <x:t xml:space="preserve">FATF</x:t>
  </x:si>
  <x:si>
    <x:t xml:space="preserve">未列名</x:t>
  </x:si>
  <x:si>
    <x:t xml:space="preserve">灰名单</x:t>
  </x:si>
  <x:si>
    <x:t xml:space="preserve">黑名单</x:t>
  </x:si>
  <x:si>
    <x:t xml:space="preserve">境外（东道国）法律政策风险</x:t>
  </x:si>
  <x:si>
    <x:t xml:space="preserve">法律环境风险</x:t>
  </x:si>
  <x:si>
    <x:t xml:space="preserve">东道国法律体系、司法效率及执法环境不稳定，法律规定与实际执行存在差异，合同权利、担保权益及投资者保护难以获得稳定、可预期的司法保障。</x:t>
  </x:si>
  <x:si>
    <x:t xml:space="preserve">合同款项、担保和赔偿债权可能难以及时实现，诉讼仲裁及执行周期拉长；资金长期被占用并增加律师费、保全费等支出，严重时形成应收或投资损失并影响流动性安排。</x:t>
  </x:si>
  <x:si>
    <x:t xml:space="preserve">法治指数百分位</x:t>
  </x:si>
  <x:si>
    <x:t xml:space="preserve">世行WGI法治维度</x:t>
  </x:si>
  <x:si>
    <x:t xml:space="preserve">《纽约公约》缔约与裁决执行记录</x:t>
  </x:si>
  <x:si>
    <x:t xml:space="preserve">根据《纽约公约》缔约状态及近年外国仲裁裁决承认执行情况综合判断：已缔约且执行良好为常规，已缔约但执行不确定为重点，未缔约为核心。</x:t>
  </x:si>
  <x:si>
    <x:t xml:space="preserve">公约缔约名录与判例库</x:t>
  </x:si>
  <x:si>
    <x:t xml:space="preserve">缔约且执行记录良好</x:t>
  </x:si>
  <x:si>
    <x:t xml:space="preserve">缔约但执行不确定</x:t>
  </x:si>
  <x:si>
    <x:t xml:space="preserve">非缔约国</x:t>
  </x:si>
  <x:si>
    <x:t xml:space="preserve">外商投资政策风险</x:t>
  </x:si>
  <x:si>
    <x:t xml:space="preserve">东道国收紧外商投资准入、股比限制、本地化要求或安全审查，对中资企业新设、并购、增资及经营范围实施更严格限制，导致既定投资结构无法落地或需被动调整。</x:t>
  </x:si>
  <x:si>
    <x:t xml:space="preserve">交易交割、资本金投入及融资提款被迫延后，已支付定金和前期费用形成资金占用；被迫引入本地股东或调整股权结构可能降低资金控制权、分红能力及退出灵活性。</x:t>
  </x:si>
  <x:si>
    <x:t xml:space="preserve">外商投资限制及安全审查强度</x:t>
  </x:si>
  <x:si>
    <x:t xml:space="preserve">设置四项重大限制标识：①目标行业存在外资禁止/限制或外资股比上限；②强制本地股东、合资或实质性本地化要求；③投资需国家安全或外资特别审查且具有较大监管裁量；④近12个月出台针对外资的不利准入/运营限制。每项记1分；如行业禁止外资进入、无法取得项目所需控制权或交易被安全审查否决，直接按核心监控认定。</x:t>
  </x:si>
  <x:si>
    <x:t xml:space="preserve">东道国投资主管部门/外资法规；UNCTAD Investment Policy Monitor</x:t>
  </x:si>
  <x:si>
    <x:t xml:space="preserve">按季及政策变化时</x:t>
  </x:si>
  <x:si>
    <x:t xml:space="preserve">0项重大限制</x:t>
  </x:si>
  <x:si>
    <x:t xml:space="preserve">1–2项重大限制</x:t>
  </x:si>
  <x:si>
    <x:t xml:space="preserve">≥3项，或行业禁止外资/无法取得所需控制权/安全审查否决</x:t>
  </x:si>
  <x:si>
    <x:t xml:space="preserve">税收政策风险</x:t>
  </x:si>
  <x:si>
    <x:t xml:space="preserve">东道国税率、税基、征管口径、预提税或税收优惠政策发生不利调整，导致建设、运营、融资及利润汇回环节的实际税负高于投资测算。</x:t>
  </x:si>
  <x:si>
    <x:t xml:space="preserve">新增税负直接增加建设及运营现金支出，压缩可用于偿债和分红的现金流；跨境支付与利润汇回的净到账金额下降，可能触发追加融资需求并降低投资回报。</x:t>
  </x:si>
  <x:si>
    <x:t xml:space="preserve">项目适用税制重大不利调整频次</x:t>
  </x:si>
  <x:si>
    <x:t xml:space="preserve">统计评价日前5年内，对项目企业所得税、增值税/销售税、关税、预提税及其他主要税种产生实质不利影响的政策调整次数。同一法规同时调整多个税种按1次政策事件计；仅统计导致项目实际税负增加、优惠取消/收紧或合规成本显著增加的调整。</x:t>
  </x:si>
  <x:si>
    <x:t xml:space="preserve">东道国财政部、税务机关、海关及第三方风险机构事件库</x:t>
  </x:si>
  <x:si>
    <x:t xml:space="preserve">单一标准</x:t>
  </x:si>
  <x:si>
    <x:t xml:space="preserve">近5年 0–1次</x:t>
  </x:si>
  <x:si>
    <x:t xml:space="preserve">2–3次</x:t>
  </x:si>
  <x:si>
    <x:t xml:space="preserve">≥4次，或近1年发生重大不利调整</x:t>
  </x:si>
  <x:si>
    <x:t xml:space="preserve">关税税率变动</x:t>
  </x:si>
  <x:si>
    <x:t xml:space="preserve">统计当年项目相关设备、燃料及备件税目税率调整次数，并记录本期税率较上期税率的变动幅度。</x:t>
  </x:si>
  <x:si>
    <x:t xml:space="preserve">第三方风险机构事件库（各国海关公告）</x:t>
  </x:si>
  <x:si>
    <x:t xml:space="preserve">税率稳定</x:t>
  </x:si>
  <x:si>
    <x:t xml:space="preserve">年内调整1次</x:t>
  </x:si>
  <x:si>
    <x:t xml:space="preserve">年内调整2次及以上</x:t>
  </x:si>
  <x:si>
    <x:t xml:space="preserve">环保政策风险</x:t>
  </x:si>
  <x:si>
    <x:t xml:space="preserve">东道国环保法规、排放标准、许可条件或环境税费趋严，项目需追加环保设施、整改或限制生产，原有建设和运营方案面临调整。</x:t>
  </x:si>
  <x:si>
    <x:t xml:space="preserve">环保改造及罚款形成计划外资金支出，停工限产造成收入和回款下降；建设期投资及运营成本上升，可能导致资金缺口扩大、融资条件收紧或贷款人要求追加保障。</x:t>
  </x:si>
  <x:si>
    <x:t xml:space="preserve">关键市场准入资质及行业准入限制程度</x:t>
  </x:si>
  <x:si>
    <x:t xml:space="preserve">逐项核查项目所需发电、售电、并网、特许经营等关键资质及行业准入条件。全部关键资质可按明确程序取得且无实质行业限制为常规；存在附加条件、审批不确定或个别关键资质尚未取得但具备明确解决路径为重点；行业禁止进入、核心资质无法取得/续期/被撤销，或准入限制导致项目无法按既定模式经营为核心。</x:t>
  </x:si>
  <x:si>
    <x:t xml:space="preserve">东道国能源主管部门、电力监管机构、投资主管部门及项目许可文件</x:t>
  </x:si>
  <x:si>
    <x:t xml:space="preserve">按季及许可变化时</x:t>
  </x:si>
  <x:si>
    <x:t xml:space="preserve">关键资质可取得/已取得，且无实质行业准入限制</x:t>
  </x:si>
  <x:si>
    <x:t xml:space="preserve">存在附加条件、审批不确定或个别关键资质待取得</x:t>
  </x:si>
  <x:si>
    <x:t xml:space="preserve">行业禁止进入、核心资质无法取得/续期/被撤销，或无法按既定模式经营</x:t>
  </x:si>
  <x:si>
    <x:t xml:space="preserve">近5年2–3次</x:t>
  </x:si>
  <x:si>
    <x:t xml:space="preserve">近5年≥4次，或近1年出现导致停工/重大改造的政策收紧</x:t>
  </x:si>
  <x:si>
    <x:t xml:space="preserve">土地政策风险</x:t>
  </x:si>
  <x:si>
    <x:t xml:space="preserve">项目土地取得、租赁、用途变更、权属登记或土地续期受政策限制，土地使用条件发生变化或权属争议影响项目建设和持续经营。</x:t>
  </x:si>
  <x:si>
    <x:t xml:space="preserve">土地款、租金、补偿及重新选址支出增加，已投入建设资金面临沉淀；工期延误推高建设期利息和融资成本，严重时项目资产无法正常运营或处置，影响资金回收。</x:t>
  </x:si>
  <x:si>
    <x:t xml:space="preserve">外资持地限制</x:t>
  </x:si>
  <x:si>
    <x:t xml:space="preserve">根据东道国土地法对外资持有、长期租赁、特许使用及转让限制的规定进行分档。</x:t>
  </x:si>
  <x:si>
    <x:t xml:space="preserve">可持有或长期租赁</x:t>
  </x:si>
  <x:si>
    <x:t xml:space="preserve">仅可租赁或特许</x:t>
  </x:si>
  <x:si>
    <x:t xml:space="preserve">外资禁持且转让受限</x:t>
  </x:si>
  <x:si>
    <x:t xml:space="preserve">劳动用工风险</x:t>
  </x:si>
  <x:si>
    <x:t xml:space="preserve">东道国最低工资、社会保障、工时、解雇、工会及本地雇佣比例等劳动用工政策调整，或项目用工安排不符合属地规定，引发用工成本上升和劳动争议。</x:t>
  </x:si>
  <x:si>
    <x:t xml:space="preserve">人工、社保及补偿支出超预算，劳资争议可能造成停工、赔偿和罚款；经营现金流减少，短期营运资金需求上升，严重时影响工资支付、工程进度及偿债安排。</x:t>
  </x:si>
  <x:si>
    <x:t xml:space="preserve">劳动用工政策约束及不利调整程度</x:t>
  </x:si>
  <x:si>
    <x:t xml:space="preserve">设置五项重大约束/收紧标识：①最低工资或强制福利在12个月内大幅提高；②社保缴费义务明显增加；③本地雇佣比例/本地化配额提高；④外籍关键人员签证、配额或工作许可明显收紧；⑤解雇、工时或工会制度出现显著新增成本或经营限制。每项记1分；如规定导致项目无法配置关键人员或发生大规模强制用工调整，直接按核心监控认定。</x:t>
  </x:si>
  <x:si>
    <x:t xml:space="preserve">东道国劳动主管部门、ILO NATLEX及第三方风险机构事件库</x:t>
  </x:si>
  <x:si>
    <x:t xml:space="preserve">0–1项重大约束/收紧</x:t>
  </x:si>
  <x:si>
    <x:t xml:space="preserve">2–3项重大约束/收紧</x:t>
  </x:si>
  <x:si>
    <x:t xml:space="preserve">≥4项，或关键人员无法配置/发生大规模强制调整</x:t>
  </x:si>
  <x:si>
    <x:t xml:space="preserve">外汇管制风险</x:t>
  </x:si>
  <x:si>
    <x:t xml:space="preserve">东道国实施或收紧结售汇、外币账户、跨境支付、利润汇出及资本项目管制，企业虽具备资金但无法按计划兑换或跨境调拨。</x:t>
  </x:si>
  <x:si>
    <x:t xml:space="preserve">进口付款、债务本息、股息及股东借款回收可能延迟或中断，资金滞留境外并承担本币贬值损失；集团需在其他地区筹措替代资金，推高融资成本并加剧境内外流动性错配。</x:t>
  </x:si>
  <x:si>
    <x:t xml:space="preserve">外汇管制强度</x:t>
  </x:si>
  <x:si>
    <x:t xml:space="preserve">根据东道国购汇、汇出额度、审批要求及实际到账限制，按“可自由汇出—配额或审批制—暂停或严格限制汇出”映射风险等级。</x:t>
  </x:si>
  <x:si>
    <x:t xml:space="preserve">央行法规与实操反馈</x:t>
  </x:si>
  <x:si>
    <x:t xml:space="preserve">可自由汇出</x:t>
  </x:si>
  <x:si>
    <x:t xml:space="preserve">配额或审批制</x:t>
  </x:si>
  <x:si>
    <x:t xml:space="preserve">暂停或严格限制汇出</x:t>
  </x:si>
  <x:si>
    <x:t xml:space="preserve">国家征收风险</x:t>
  </x:si>
  <x:si>
    <x:t xml:space="preserve">东道国政府以国有化、征收、强制收购、特许权撤销或实质性限制经营等方式直接或间接剥夺项目资产及收益权，补偿金额或支付安排不足。</x:t>
  </x:si>
  <x:si>
    <x:t xml:space="preserve">项目经营现金流及账户控制权可能突然丧失，投资本金和应收款面临重大损失；补偿及国际仲裁回收周期长，集团需计提减值并承担额外法律费用和流动性缺口。</x:t>
  </x:si>
  <x:si>
    <x:t xml:space="preserve">政府合同重审先例</x:t>
  </x:si>
  <x:si>
    <x:t xml:space="preserve">统计近两届政府对既有购电协议、特许经营协议等政府合同的重谈或单方面调整记录</x:t>
  </x:si>
  <x:si>
    <x:t xml:space="preserve">无重审先例</x:t>
  </x:si>
  <x:si>
    <x:t xml:space="preserve">有个别先例</x:t>
  </x:si>
  <x:si>
    <x:t xml:space="preserve">换届后普遍重谈</x:t>
  </x:si>
  <x:si>
    <x:t xml:space="preserve">征收先例</x:t>
  </x:si>
  <x:si>
    <x:t xml:space="preserve">统计东道国近10年征收、国有化、强制收购、强制入股或吊销许可事件，并识别近期是否发生相关事件。</x:t>
  </x:si>
  <x:si>
    <x:t xml:space="preserve">无先例</x:t>
  </x:si>
  <x:si>
    <x:t xml:space="preserve">有历史先例</x:t>
  </x:si>
  <x:si>
    <x:t xml:space="preserve">近一年出现征收或强制入股</x:t>
  </x:si>
  <x:si>
    <x:t xml:space="preserve">双边投资保护协定状态</x:t>
  </x:si>
  <x:si>
    <x:t xml:space="preserve">根据中国与东道国双边投资保护协定的签署、生效状态及是否包含征收补偿条款进行分档。</x:t>
  </x:si>
  <x:si>
    <x:t xml:space="preserve">已生效且含补偿条款</x:t>
  </x:si>
  <x:si>
    <x:t xml:space="preserve">已签未生效或条款保障弱</x:t>
  </x:si>
  <x:si>
    <x:t xml:space="preserve">未签署</x:t>
  </x:si>
  <x:si>
    <x:t xml:space="preserve">境外（东道国）准入及产业监管风险</x:t>
  </x:si>
  <x:si>
    <x:t xml:space="preserve">行业监管风险</x:t>
  </x:si>
  <x:si>
    <x:t xml:space="preserve">东道国电力行业监管政策、市场规则及监管要求发生调整，包括电价机制、发电与并网规则、市场交易机制、行业许可及监管标准等发生不利变化，可能增加项目运营成本、限制经营活动或影响项目收益。</x:t>
  </x:si>
  <x:si>
    <x:t xml:space="preserve">电价、发电量和收入结算机制可能调整，经营现金流低于测算；新增合规改造及许可成本增加，并可能影响授信条件、融资模型和债务偿付能力。</x:t>
  </x:si>
  <x:si>
    <x:t xml:space="preserve">电力消费增速</x:t>
  </x:si>
  <x:si>
    <x:t xml:space="preserve">（本期全国用电量－上年同期全国用电量）÷上年同期全国用电量×100%。</x:t>
  </x:si>
  <x:si>
    <x:t xml:space="preserve">第三方风险机构事件库（东道国电力主管部门）</x:t>
  </x:si>
  <x:si>
    <x:t xml:space="preserve">正增长且不低于GDP增速一半</x:t>
  </x:si>
  <x:si>
    <x:t xml:space="preserve">低增长</x:t>
  </x:si>
  <x:si>
    <x:t xml:space="preserve">连续两季负增长</x:t>
  </x:si>
  <x:si>
    <x:t xml:space="preserve">市场准入风险</x:t>
  </x:si>
  <x:si>
    <x:t xml:space="preserve">项目未能取得或持续满足发电、售电、并网、特许经营等市场准入资质，或因外资股比、本地化、技术条件等限制无法进入目标市场。</x:t>
  </x:si>
  <x:si>
    <x:t xml:space="preserve">项目无法按期投产和形成收入，已投入资本金及建设资金长期沉淀；融资提款可能暂停或构成先决条件未满足，导致资金缺口和建设期利息持续增加。</x:t>
  </x:si>
  <x:si>
    <x:t xml:space="preserve">行业投资优惠政策风险</x:t>
  </x:si>
  <x:si>
    <x:t xml:space="preserve">项目投资决策依赖的税收减免、电价补贴、土地优惠、融资支持等产业激励政策未获批准、执行折扣或在项目周期内提前退坡。</x:t>
  </x:si>
  <x:si>
    <x:t xml:space="preserve">实际建设及运营成本高于测算、收入或补贴低于预期，项目自由现金流减少；资本金回收期延长，偿债覆盖下降，并可能产生追加融资和补充流动性需求。</x:t>
  </x:si>
  <x:si>
    <x:t xml:space="preserve">电力行业投资优惠政策不利调整频次</x:t>
  </x:si>
  <x:si>
    <x:t xml:space="preserve">统计评价日前5年内，针对电力/能源项目的财政补贴、投资补助、税收减免、土地优惠、融资支持等投资优惠政策被取消、削减、收紧适用条件或延迟兑现的次数；同一政策的一揽子调整按1次计。</x:t>
  </x:si>
  <x:si>
    <x:t xml:space="preserve">能源主管部门、财政部门、投资促进机构及第三方风险机构事件库</x:t>
  </x:si>
  <x:si>
    <x:t xml:space="preserve">≥4次，或已发生重大优惠取消/停止兑现</x:t>
  </x:si>
  <x:si>
    <x:t xml:space="preserve">指导电价风险</x:t>
  </x:si>
  <x:si>
    <x:t xml:space="preserve">东道国政府对电价实行指导、管制或临时冻结，核定电价及调整幅度低于项目成本增长和投资测算，电价无法及时反映燃料、通胀及汇率变化。</x:t>
  </x:si>
  <x:si>
    <x:t xml:space="preserve">售电收入和回款规模低于测算，成本上涨无法向下游传导，经营现金流与偿债覆盖率下降；应收补贴可能增加并长期占用资金，形成持续性流动性压力。</x:t>
  </x:si>
  <x:si>
    <x:t xml:space="preserve">电价机制不利调整及成本回收水平</x:t>
  </x:si>
  <x:si>
    <x:t xml:space="preserve">两部分综合判断：①统计近5年上网电价、政府指导价、PPA定价规则或电价调整机制发生不利调整的次数；②成本回收率＝项目适用电价÷单位供电成本×100%。两项取风险较高者；如发生行政压价、冻结电价或取消既定调价机制，可直接上调一级。</x:t>
  </x:si>
  <x:si>
    <x:t xml:space="preserve">能源主管部门、电力监管机构、购电协议及第三方风险机构事件库</x:t>
  </x:si>
  <x:si>
    <x:t xml:space="preserve">近5年无重大不利调整，且成本回收率 ≥100%</x:t>
  </x:si>
  <x:si>
    <x:t xml:space="preserve">存在1次重大不利调整，或成本回收率 80%–100%</x:t>
  </x:si>
  <x:si>
    <x:t xml:space="preserve">≥2次重大不利调整，或成本回收率 ＜80%，或出现行政冻结/强制降价</x:t>
  </x:si>
</x:sst>
</file>

<file path=xl/styles.xml><?xml version="1.0" encoding="utf-8"?>
<x:styleSheet xmlns:x="http://schemas.openxmlformats.org/spreadsheetml/2006/main">
  <x:numFmts count="1">
    <x:numFmt numFmtId="164" formatCode="0.0%"/>
  </x:numFmts>
  <x:fonts count="21">
    <x:font>
      <x:sz val="11"/>
      <x:color theme="1"/>
      <x:name val="Calibri"/>
    </x:font>
    <x:font>
      <x:sz val="9"/>
      <x:name val="Calibri"/>
    </x:font>
    <x:font>
      <x:b/>
      <x:sz val="10"/>
      <x:color theme="1"/>
      <x:name val="微软雅黑"/>
    </x:font>
    <x:font>
      <x:sz val="9"/>
      <x:name val="FangSong"/>
    </x:font>
    <x:font>
      <x:b/>
      <x:sz val="10"/>
      <x:color rgb="FFFFFFFF"/>
      <x:name val="微软雅黑"/>
    </x:font>
    <x:font>
      <x:sz val="10"/>
      <x:color theme="1"/>
      <x:name val="微软雅黑"/>
    </x:font>
    <x:font>
      <x:sz val="10"/>
      <x:name val="微软雅黑"/>
    </x:font>
    <x:font>
      <x:sz val="11"/>
      <x:color theme="10"/>
      <x:name val="Calibri"/>
    </x:font>
    <x:font>
      <x:sz val="10"/>
      <x:color rgb="FF000000"/>
      <x:name val="微软雅黑"/>
    </x:font>
    <x:font>
      <x:b/>
      <x:sz val="10"/>
      <x:name val="微软雅黑"/>
    </x:font>
    <x:font>
      <x:sz val="10"/>
      <x:color theme="10"/>
      <x:name val="微软雅黑"/>
    </x:font>
    <x:font>
      <x:sz val="10"/>
      <x:color theme="1"/>
      <x:name val="Calibri"/>
    </x:font>
    <x:font>
      <x:sz val="10"/>
      <x:color rgb="FF000000"/>
      <x:name val="Calibri"/>
    </x:font>
    <x:font>
      <x:b/>
      <x:sz val="10"/>
      <x:color theme="1"/>
      <x:name val="Calibri"/>
    </x:font>
    <x:font>
      <x:b/>
      <x:sz val="12"/>
      <x:color rgb="FFFFFFFF"/>
      <x:name val="Calibri"/>
    </x:font>
    <x:font>
      <x:b/>
      <x:sz val="11"/>
      <x:color rgb="FF1F1F1F"/>
      <x:name val="Calibri"/>
    </x:font>
    <x:font>
      <x:i/>
      <x:sz val="9"/>
      <x:color rgb="FF4F4F4F"/>
      <x:name val="Calibri"/>
    </x:font>
    <x:font>
      <x:b/>
      <x:sz val="11"/>
      <x:color theme="1"/>
      <x:name val="Calibri"/>
    </x:font>
    <x:font>
      <x:b/>
      <x:sz val="14"/>
      <x:color rgb="FFFFFFFF"/>
      <x:name val="Calibri"/>
    </x:font>
    <x:font>
      <x:b/>
      <x:sz val="11"/>
      <x:color rgb="FFFFFFFF"/>
      <x:name val="Calibri"/>
    </x:font>
    <x:font>
      <x:i/>
      <x:sz val="11"/>
      <x:color rgb="FF7F6000"/>
      <x:name val="Calibri"/>
    </x:font>
  </x:fonts>
  <x:fills count="15">
    <x:fill>
      <x:patternFill patternType="none"/>
    </x:fill>
    <x:fill>
      <x:patternFill patternType="gray125"/>
    </x:fill>
    <x:fill>
      <x:patternFill patternType="solid">
        <x:fgColor rgb="FFED6C0C"/>
      </x:patternFill>
    </x:fill>
    <x:fill>
      <x:patternFill patternType="solid">
        <x:fgColor theme="9" tint="0.79992"/>
      </x:patternFill>
    </x:fill>
    <x:fill>
      <x:patternFill patternType="solid">
        <x:fgColor theme="9" tint="0.79998"/>
      </x:patternFill>
    </x:fill>
    <x:fill>
      <x:patternFill patternType="solid">
        <x:fgColor rgb="FF92D050"/>
      </x:patternFill>
    </x:fill>
    <x:fill>
      <x:patternFill patternType="solid">
        <x:fgColor rgb="FFFFC000"/>
      </x:patternFill>
    </x:fill>
    <x:fill>
      <x:patternFill patternType="solid">
        <x:fgColor rgb="FFC00000"/>
      </x:patternFill>
    </x:fill>
    <x:fill>
      <x:patternFill patternType="solid">
        <x:fgColor rgb="FF1F4E78"/>
      </x:patternFill>
    </x:fill>
    <x:fill>
      <x:patternFill patternType="solid">
        <x:fgColor rgb="FFD9EAF7"/>
      </x:patternFill>
    </x:fill>
    <x:fill>
      <x:patternFill patternType="solid">
        <x:fgColor rgb="FFEEF5FB"/>
      </x:patternFill>
    </x:fill>
    <x:fill>
      <x:patternFill patternType="solid">
        <x:fgColor rgb="FFFFF9E6"/>
      </x:patternFill>
    </x:fill>
    <x:fill>
      <x:patternFill patternType="solid">
        <x:fgColor rgb="FF17365D"/>
      </x:patternFill>
    </x:fill>
    <x:fill>
      <x:patternFill patternType="solid">
        <x:fgColor rgb="FF4472C4"/>
      </x:patternFill>
    </x:fill>
    <x:fill>
      <x:patternFill patternType="solid">
        <x:fgColor rgb="FFFFF2CC"/>
      </x:patternFill>
    </x:fill>
  </x:fills>
  <x:borders count="72">
    <x:border/>
    <x:border>
      <x:left style="thin">
        <x:color theme="0" tint="-0.34999"/>
      </x:left>
      <x:right style="thin">
        <x:color theme="0" tint="-0.34999"/>
      </x:right>
      <x:top style="thin">
        <x:color theme="0" tint="-0.34999"/>
      </x:top>
      <x:bottom style="thin">
        <x:color theme="0" tint="-0.34999"/>
      </x:bottom>
    </x:border>
    <x:border>
      <x:left style="thin">
        <x:color theme="0" tint="-0.34999"/>
      </x:left>
      <x:right style="thin">
        <x:color theme="0" tint="-0.34999"/>
      </x:right>
      <x:top style="thin">
        <x:color theme="0" tint="-0.34999"/>
      </x:top>
    </x:border>
    <x:border>
      <x:left style="thin">
        <x:color theme="0" tint="-0.34999"/>
      </x:left>
      <x:right style="thin">
        <x:color theme="0" tint="-0.34999"/>
      </x:right>
      <x:bottom style="thin">
        <x:color theme="0" tint="-0.34999"/>
      </x:bottom>
    </x:border>
    <x:border>
      <x:left style="thin">
        <x:color theme="0" tint="-0.34999"/>
      </x:left>
      <x:right style="thin">
        <x:color theme="0" tint="-0.34999"/>
      </x:right>
    </x:border>
    <x:border>
      <x:top style="thin">
        <x:color theme="0" tint="-0.34999"/>
      </x:top>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border>
    <x:border>
      <x:left style="thin">
        <x:color rgb="FFBFBFBF"/>
      </x:left>
      <x:right style="thin">
        <x:color rgb="FFBFBFBF"/>
      </x:right>
      <x:top style="thin">
        <x:color rgb="FFBFBFBF"/>
      </x:top>
    </x:border>
    <x:border>
      <x:left style="thin">
        <x:color rgb="FFBFBFBF"/>
      </x:left>
      <x:right style="thin">
        <x:color rgb="FFBFBFBF"/>
      </x:right>
      <x:bottom style="thin">
        <x:color rgb="FFBFBFBF"/>
      </x:bottom>
    </x:border>
    <x:border>
      <x:left style="thin">
        <x:color theme="0" tint="-0.34999"/>
      </x:left>
      <x:top style="thin">
        <x:color theme="0" tint="-0.34999"/>
      </x:top>
      <x:bottom style="thin">
        <x:color theme="0" tint="-0.34999"/>
      </x:bottom>
    </x:border>
    <x:border>
      <x:right style="thin">
        <x:color theme="0" tint="-0.34999"/>
      </x:right>
      <x:top style="thin">
        <x:color theme="0" tint="-0.34999"/>
      </x:top>
      <x:bottom style="thin">
        <x:color theme="0" tint="-0.34999"/>
      </x:bottom>
    </x:border>
    <x:border>
      <x:bottom style="thin">
        <x:color theme="0" tint="-0.34999"/>
      </x:bottom>
    </x:border>
    <x:border>
      <x:left style="thin">
        <x:color theme="0" tint="-0.34999"/>
      </x:left>
      <x:top style="thin">
        <x:color theme="0" tint="-0.34999"/>
      </x:top>
    </x:border>
    <x:border>
      <x:left style="thin">
        <x:color theme="0" tint="-0.34999"/>
      </x:left>
    </x:border>
    <x:border>
      <x:left style="thin">
        <x:color theme="0" tint="-0.34999"/>
      </x:left>
      <x:bottom style="thin">
        <x:color rgb="FFBFBFBF"/>
      </x:bottom>
    </x:border>
    <x:border>
      <x:right style="thin">
        <x:color theme="0" tint="-0.34999"/>
      </x:right>
      <x:top style="thin">
        <x:color theme="0" tint="-0.34999"/>
      </x:top>
    </x:border>
    <x:border>
      <x:right style="thin">
        <x:color theme="0" tint="-0.34999"/>
      </x:right>
      <x:bottom style="thin">
        <x:color theme="0" tint="-0.34999"/>
      </x:bottom>
    </x:border>
    <x:border>
      <x:left style="thin">
        <x:color auto="1"/>
      </x:left>
      <x:top style="thin">
        <x:color auto="1"/>
      </x:top>
    </x:border>
    <x:border>
      <x:top style="thin">
        <x:color auto="1"/>
      </x:top>
    </x:border>
    <x:border>
      <x:left style="thin">
        <x:color auto="1"/>
      </x:left>
      <x:bottom style="thin">
        <x:color rgb="FFBFBFBF"/>
      </x:bottom>
    </x:border>
    <x:border>
      <x:left style="thin">
        <x:color auto="1"/>
      </x:left>
      <x:top style="thin">
        <x:color rgb="FFBFBFBF"/>
      </x:top>
      <x:bottom style="thin">
        <x:color rgb="FFBFBFBF"/>
      </x:bottom>
    </x:border>
    <x:border>
      <x:left style="thin">
        <x:color auto="1"/>
      </x:left>
    </x:border>
    <x:border>
      <x:right style="thin">
        <x:color theme="0" tint="-0.34999"/>
      </x:right>
      <x:bottom style="thin">
        <x:color rgb="FFBFBFBF"/>
      </x:bottom>
    </x:border>
    <x:border>
      <x:left style="thin">
        <x:color theme="0" tint="-0.34999"/>
      </x:left>
      <x:right style="thin">
        <x:color theme="0" tint="-0.34999"/>
      </x:right>
      <x:bottom style="thin">
        <x:color rgb="FFBFBFBF"/>
      </x:bottom>
    </x:border>
    <x:border>
      <x:bottom style="thin">
        <x:color rgb="FFBFBFBF"/>
      </x:bottom>
    </x:border>
    <x:border>
      <x:left style="thin">
        <x:color rgb="FFA6A6A6"/>
      </x:left>
      <x:right style="thin">
        <x:color rgb="FFA6A6A6"/>
      </x:right>
      <x:top style="thin">
        <x:color rgb="FFA6A6A6"/>
      </x:top>
      <x:bottom style="thin">
        <x:color rgb="FFA6A6A6"/>
      </x:bottom>
    </x:border>
    <x:border>
      <x:right style="thin">
        <x:color rgb="FFA6A6A6"/>
      </x:right>
      <x:top style="thin">
        <x:color rgb="FFA6A6A6"/>
      </x:top>
      <x:bottom style="thin">
        <x:color rgb="FFA6A6A6"/>
      </x:bottom>
    </x:border>
    <x:border>
      <x:left style="thin">
        <x:color rgb="FFBFBFBF"/>
      </x:left>
      <x:top style="thin">
        <x:color theme="0" tint="-0.34999"/>
      </x:top>
    </x:border>
    <x:border>
      <x:left style="thin">
        <x:color rgb="FFBFBFBF"/>
      </x:left>
    </x:border>
    <x:border>
      <x:right style="thin">
        <x:color rgb="FFBFBFBF"/>
      </x:right>
      <x:top style="thin">
        <x:color rgb="FFBFBFBF"/>
      </x:top>
    </x:border>
    <x:border>
      <x:right style="thin">
        <x:color rgb="FFBFBFBF"/>
      </x:right>
    </x:border>
    <x:border/>
    <x:border>
      <x:left style="thin">
        <x:color theme="0" tint="-0.34999"/>
      </x:left>
      <x:right style="thin">
        <x:color theme="0" tint="-0.34999"/>
      </x:right>
      <x:top style="thin">
        <x:color theme="0" tint="-0.34999"/>
      </x:top>
      <x:bottom style="thin">
        <x:color theme="0" tint="-0.34999"/>
      </x:bottom>
    </x:border>
    <x:border>
      <x:top style="thin">
        <x:color theme="0" tint="-0.34999"/>
      </x:top>
    </x:border>
    <x:border>
      <x:left style="thin">
        <x:color theme="0" tint="-0.34999"/>
      </x:left>
      <x:right style="thin">
        <x:color theme="0" tint="-0.34999"/>
      </x:right>
      <x:top style="thin">
        <x:color theme="0" tint="-0.34999"/>
      </x:top>
    </x:border>
    <x:border>
      <x:left style="thin">
        <x:color theme="0" tint="-0.34999"/>
      </x:left>
      <x:right style="thin">
        <x:color theme="0" tint="-0.34999"/>
      </x:right>
      <x:bottom style="thin">
        <x:color theme="0" tint="-0.34999"/>
      </x:bottom>
    </x:border>
    <x:border>
      <x:right style="thin">
        <x:color theme="0" tint="-0.34999"/>
      </x:right>
      <x:top style="thin">
        <x:color theme="0" tint="-0.34999"/>
      </x:top>
      <x:bottom style="thin">
        <x:color theme="0" tint="-0.34999"/>
      </x:bottom>
    </x:border>
    <x:border>
      <x:left style="thin">
        <x:color auto="1"/>
      </x:left>
      <x:top style="thin">
        <x:color rgb="FFBFBFBF"/>
      </x:top>
      <x:bottom style="thin">
        <x:color rgb="FFBFBFBF"/>
      </x:bottom>
    </x:border>
    <x:border>
      <x:left style="thin">
        <x:color auto="1"/>
      </x:left>
    </x:border>
    <x:border>
      <x:left style="thin">
        <x:color theme="0" tint="-0.34999"/>
      </x:left>
      <x:top style="thin">
        <x:color theme="0" tint="-0.34999"/>
      </x:top>
      <x:bottom style="thin">
        <x:color theme="0" tint="-0.34999"/>
      </x:bottom>
    </x:border>
    <x:border>
      <x:top style="thin">
        <x:color auto="1"/>
      </x:top>
    </x:border>
    <x:border>
      <x:left style="thin">
        <x:color auto="1"/>
      </x:left>
      <x:bottom style="thin">
        <x:color rgb="FFBFBFBF"/>
      </x:bottom>
    </x:border>
    <x:border>
      <x:left style="thin">
        <x:color theme="0" tint="-0.34999"/>
      </x:left>
      <x:right style="thin">
        <x:color theme="0" tint="-0.34999"/>
      </x:right>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border>
    <x:border>
      <x:left style="thin">
        <x:color rgb="FFBFBFBF"/>
      </x:left>
      <x:right style="thin">
        <x:color rgb="FFBFBFBF"/>
      </x:right>
      <x:bottom style="thin">
        <x:color rgb="FFBFBFBF"/>
      </x:bottom>
    </x:border>
    <x:border>
      <x:left style="thin">
        <x:color rgb="FFA6A6A6"/>
      </x:left>
      <x:right style="thin">
        <x:color rgb="FFA6A6A6"/>
      </x:right>
      <x:top style="thin">
        <x:color rgb="FFA6A6A6"/>
      </x:top>
      <x:bottom style="thin">
        <x:color rgb="FFA6A6A6"/>
      </x:bottom>
    </x:border>
    <x:border>
      <x:right style="thin">
        <x:color rgb="FFA6A6A6"/>
      </x:right>
      <x:top style="thin">
        <x:color rgb="FFA6A6A6"/>
      </x:top>
      <x:bottom style="thin">
        <x:color rgb="FFA6A6A6"/>
      </x:bottom>
    </x:border>
    <x:border>
      <x:left style="thin">
        <x:color rgb="FFBFBFBF"/>
      </x:left>
      <x:top style="thin">
        <x:color theme="0" tint="-0.34999"/>
      </x:top>
    </x:border>
    <x:border>
      <x:left style="thin">
        <x:color rgb="FFBFBFBF"/>
      </x:left>
    </x:border>
    <x:border>
      <x:right style="thin">
        <x:color rgb="FFBFBFBF"/>
      </x:right>
      <x:top style="thin">
        <x:color rgb="FFBFBFBF"/>
      </x:top>
    </x:border>
    <x:border>
      <x:right style="thin">
        <x:color rgb="FFBFBFBF"/>
      </x:right>
    </x:border>
    <x:border>
      <x:left style="thin">
        <x:color auto="1"/>
      </x:left>
      <x:top style="thin">
        <x:color auto="1"/>
      </x:top>
    </x:border>
    <x:border>
      <x:left style="thin">
        <x:color rgb="FFBFBFBF"/>
      </x:left>
      <x:right style="thin">
        <x:color rgb="FFBFBFBF"/>
      </x:right>
      <x:top style="thin">
        <x:color rgb="FFBFBFBF"/>
      </x:top>
    </x:border>
    <x:border>
      <x:left style="thin">
        <x:color theme="0" tint="-0.34999"/>
      </x:left>
      <x:top style="thin">
        <x:color theme="0" tint="-0.34999"/>
      </x:top>
    </x:border>
    <x:border>
      <x:left style="thin">
        <x:color theme="0" tint="-0.34999"/>
      </x:left>
    </x:border>
    <x:border>
      <x:left style="thin">
        <x:color theme="0" tint="-0.34999"/>
      </x:left>
      <x:bottom style="thin">
        <x:color rgb="FFBFBFBF"/>
      </x:bottom>
    </x:border>
    <x:border>
      <x:right style="thin">
        <x:color theme="0" tint="-0.34999"/>
      </x:right>
      <x:top style="thin">
        <x:color theme="0" tint="-0.34999"/>
      </x:top>
    </x:border>
    <x:border>
      <x:right style="thin">
        <x:color theme="0" tint="-0.34999"/>
      </x:right>
      <x:bottom style="thin">
        <x:color theme="0" tint="-0.34999"/>
      </x:bottom>
    </x:border>
    <x:border>
      <x:right style="thin">
        <x:color theme="0" tint="-0.34999"/>
      </x:right>
      <x:bottom style="thin">
        <x:color rgb="FFBFBFBF"/>
      </x:bottom>
    </x:border>
    <x:border>
      <x:left style="thin">
        <x:color theme="0" tint="-0.34999"/>
      </x:left>
      <x:right style="thin">
        <x:color theme="0" tint="-0.34999"/>
      </x:right>
      <x:bottom style="thin">
        <x:color rgb="FFBFBFBF"/>
      </x:bottom>
    </x:border>
    <x:border>
      <x:bottom style="thin">
        <x:color rgb="FFBFBFBF"/>
      </x:bottom>
    </x:border>
    <x:border>
      <x:bottom style="thin">
        <x:color theme="0" tint="-0.34999"/>
      </x:bottom>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s>
  <x:cellStyleXfs count="2">
    <x:xf numFmtId="0" fontId="0" fillId="0" borderId="0"/>
    <x:xf numFmtId="0" fontId="7" fillId="0" borderId="0" applyNumberFormat="0" applyFill="0" applyBorder="0" applyAlignment="0" applyProtection="0"/>
  </x:cellStyleXfs>
  <x:cellXfs count="391">
    <x:xf numFmtId="0" fontId="0" fillId="0" borderId="0" xfId="0"/>
    <x:xf numFmtId="0" fontId="5" fillId="0" borderId="1" xfId="0" applyFont="1" applyBorder="1" applyAlignment="1">
      <x:alignment horizontal="center" vertical="center" wrapText="1"/>
    </x:xf>
    <x:xf numFmtId="0" fontId="6" fillId="0" borderId="1" xfId="0" applyFont="1" applyBorder="1" applyAlignment="1">
      <x:alignment horizontal="center" vertical="center" wrapText="1"/>
    </x:xf>
    <x:xf numFmtId="0" fontId="5" fillId="4" borderId="1" xfId="0" applyFont="1" applyFill="1" applyBorder="1" applyAlignment="1">
      <x:alignment horizontal="center" vertical="center" wrapText="1"/>
    </x:xf>
    <x:xf numFmtId="0" fontId="6" fillId="4" borderId="1" xfId="0" applyFont="1" applyFill="1" applyBorder="1" applyAlignment="1">
      <x:alignment horizontal="center" vertical="center" wrapText="1"/>
    </x:xf>
    <x:xf numFmtId="0" fontId="5" fillId="0" borderId="5" xfId="0" applyFont="1" applyBorder="1" applyAlignment="1">
      <x:alignment vertical="center" wrapText="1"/>
    </x:xf>
    <x:xf numFmtId="0" fontId="6" fillId="0" borderId="2" xfId="0" applyFont="1" applyBorder="1" applyAlignment="1">
      <x:alignment horizontal="center" vertical="center" wrapText="1"/>
    </x:xf>
    <x:xf numFmtId="0" fontId="6" fillId="0" borderId="1" xfId="0" applyFont="1" applyBorder="1" applyAlignment="1">
      <x:alignment horizontal="left" vertical="center" wrapText="1"/>
    </x:xf>
    <x:xf numFmtId="0" fontId="6" fillId="0" borderId="3" xfId="0" applyFont="1" applyBorder="1" applyAlignment="1">
      <x:alignment horizontal="center" vertical="center" wrapText="1"/>
    </x:xf>
    <x:xf numFmtId="0" fontId="5" fillId="0" borderId="1" xfId="0" applyFont="1" applyBorder="1" applyAlignment="1">
      <x:alignment horizontal="left" vertical="center" wrapText="1"/>
    </x:xf>
    <x:xf numFmtId="0" fontId="6" fillId="4" borderId="1" xfId="0" applyFont="1" applyFill="1" applyBorder="1" applyAlignment="1">
      <x:alignment horizontal="left" vertical="center" wrapText="1"/>
    </x:xf>
    <x:xf numFmtId="0" fontId="6" fillId="0" borderId="11" xfId="0" applyFont="1" applyBorder="1" applyAlignment="1">
      <x:alignment horizontal="center" vertical="center" wrapText="1"/>
    </x:xf>
    <x:xf numFmtId="0" fontId="5" fillId="0" borderId="0" xfId="0" applyFont="1" applyAlignment="1">
      <x:alignment vertical="center" wrapText="1"/>
    </x:xf>
    <x:xf numFmtId="0" fontId="5" fillId="0" borderId="0" xfId="0" applyFont="1" applyAlignment="1">
      <x:alignment wrapText="1"/>
    </x:xf>
    <x:xf numFmtId="0" fontId="4" fillId="2" borderId="21" xfId="0" applyFont="1" applyFill="1" applyBorder="1" applyAlignment="1">
      <x:alignment horizontal="center" vertical="center" wrapText="1"/>
    </x:xf>
    <x:xf numFmtId="164" fontId="5" fillId="0" borderId="0" xfId="0" applyNumberFormat="1" applyFont="1" applyAlignment="1">
      <x:alignment horizontal="center" vertical="center" wrapText="1"/>
    </x:xf>
    <x:xf numFmtId="0" fontId="10" fillId="0" borderId="0" xfId="1" applyFont="1" applyBorder="1" applyAlignment="1">
      <x:alignment vertical="center" wrapText="1"/>
    </x:xf>
    <x:xf numFmtId="0" fontId="5" fillId="0" borderId="22" xfId="0" applyFont="1" applyBorder="1" applyAlignment="1">
      <x:alignment vertical="center" wrapText="1"/>
    </x:xf>
    <x:xf numFmtId="0" fontId="6" fillId="0" borderId="0" xfId="0" applyFont="1" applyAlignment="1">
      <x:alignment horizontal="center" vertical="center" wrapText="1"/>
    </x:xf>
    <x:xf numFmtId="0" fontId="5" fillId="0" borderId="22" xfId="0" applyFont="1" applyBorder="1" applyAlignment="1">
      <x:alignment wrapText="1"/>
    </x:xf>
    <x:xf numFmtId="0" fontId="5" fillId="0" borderId="0" xfId="0" applyFont="1" applyAlignment="1">
      <x:alignment horizontal="center" vertical="center" wrapText="1"/>
    </x:xf>
    <x:xf numFmtId="0" fontId="8" fillId="4" borderId="1" xfId="0" applyFont="1" applyFill="1" applyBorder="1" applyAlignment="1">
      <x:alignment horizontal="left" vertical="center" wrapText="1"/>
    </x:xf>
    <x:xf numFmtId="0" fontId="5" fillId="4" borderId="2" xfId="0" applyFont="1" applyFill="1" applyBorder="1" applyAlignment="1">
      <x:alignment horizontal="center" vertical="center" wrapText="1"/>
    </x:xf>
    <x:xf numFmtId="0" fontId="5" fillId="4" borderId="1" xfId="0" applyFont="1" applyFill="1" applyBorder="1" applyAlignment="1">
      <x:alignment horizontal="left" vertical="center" wrapText="1"/>
    </x:xf>
    <x:xf numFmtId="0" fontId="5" fillId="4" borderId="2" xfId="0" applyFont="1" applyFill="1" applyBorder="1" applyAlignment="1">
      <x:alignment horizontal="left" vertical="center" wrapText="1"/>
    </x:xf>
    <x:xf numFmtId="0" fontId="6" fillId="4" borderId="10" xfId="0" applyFont="1" applyFill="1" applyBorder="1" applyAlignment="1">
      <x:alignment horizontal="left" vertical="center" wrapText="1"/>
    </x:xf>
    <x:xf numFmtId="0" fontId="5" fillId="0" borderId="0" xfId="0" applyFont="1" applyAlignment="1">
      <x:alignment horizontal="left" vertical="center" wrapText="1"/>
    </x:xf>
    <x:xf numFmtId="0" fontId="5" fillId="0" borderId="19" xfId="0" applyFont="1" applyBorder="1" applyAlignment="1">
      <x:alignment horizontal="center" vertical="center" wrapText="1"/>
    </x:xf>
    <x:xf numFmtId="0" fontId="9" fillId="0" borderId="20" xfId="0" applyFont="1" applyBorder="1" applyAlignment="1">
      <x:alignment horizontal="center" vertical="center" wrapText="1"/>
    </x:xf>
    <x:xf numFmtId="0" fontId="5" fillId="0" borderId="4" xfId="0" applyFont="1" applyBorder="1" applyAlignment="1">
      <x:alignment horizontal="center" vertical="center" wrapText="1"/>
    </x:xf>
    <x:xf numFmtId="0" fontId="5" fillId="4" borderId="0" xfId="0" applyFont="1" applyFill="1" applyAlignment="1">
      <x:alignment horizontal="center" vertical="center" wrapText="1"/>
    </x:xf>
    <x:xf numFmtId="0" fontId="5" fillId="4" borderId="6" xfId="0" applyFont="1" applyFill="1" applyBorder="1" applyAlignment="1">
      <x:alignment horizontal="center" vertical="center" wrapText="1"/>
    </x:xf>
    <x:xf numFmtId="0" fontId="5" fillId="4" borderId="6" xfId="0" applyFont="1" applyFill="1" applyBorder="1" applyAlignment="1">
      <x:alignment horizontal="left" vertical="center" wrapText="1"/>
    </x:xf>
    <x:xf numFmtId="0" fontId="5" fillId="4" borderId="7" xfId="0" applyFont="1" applyFill="1" applyBorder="1" applyAlignment="1">
      <x:alignment horizontal="center" vertical="center" wrapText="1"/>
    </x:xf>
    <x:xf numFmtId="0" fontId="5" fillId="4" borderId="9" xfId="0" applyFont="1" applyFill="1" applyBorder="1" applyAlignment="1">
      <x:alignment horizontal="center" vertical="center" wrapText="1"/>
    </x:xf>
    <x:xf numFmtId="0" fontId="2" fillId="5" borderId="1" xfId="0" applyFont="1" applyFill="1" applyBorder="1" applyAlignment="1">
      <x:alignment horizontal="left" vertical="center" wrapText="1"/>
    </x:xf>
    <x:xf numFmtId="0" fontId="2" fillId="6" borderId="1" xfId="0" applyFont="1" applyFill="1" applyBorder="1" applyAlignment="1">
      <x:alignment horizontal="left" vertical="center" wrapText="1"/>
    </x:xf>
    <x:xf numFmtId="0" fontId="4" fillId="7" borderId="1" xfId="0" applyFont="1" applyFill="1" applyBorder="1" applyAlignment="1">
      <x:alignment horizontal="left" vertical="center" wrapText="1"/>
    </x:xf>
    <x:xf numFmtId="14" fontId="6" fillId="4" borderId="1" xfId="0" applyNumberFormat="1" applyFont="1" applyFill="1" applyBorder="1" applyAlignment="1">
      <x:alignment horizontal="left" vertical="center" wrapText="1"/>
    </x:xf>
    <x:xf numFmtId="0" fontId="6" fillId="4" borderId="26" xfId="0" applyFont="1" applyFill="1" applyBorder="1" applyAlignment="1">
      <x:alignment horizontal="left" vertical="center" wrapText="1"/>
    </x:xf>
    <x:xf numFmtId="0" fontId="6" fillId="4" borderId="27" xfId="0" applyFont="1" applyFill="1" applyBorder="1" applyAlignment="1">
      <x:alignment horizontal="left" vertical="center" wrapText="1"/>
    </x:xf>
    <x:xf numFmtId="0" fontId="8" fillId="4" borderId="27" xfId="0" applyFont="1" applyFill="1" applyBorder="1" applyAlignment="1">
      <x:alignment horizontal="left" vertical="center" wrapText="1"/>
    </x:xf>
    <x:xf numFmtId="0" fontId="12" fillId="4" borderId="1" xfId="0" applyFont="1" applyFill="1" applyBorder="1" applyAlignment="1">
      <x:alignment horizontal="left" vertical="center" wrapText="1"/>
    </x:xf>
    <x:xf numFmtId="0" fontId="12" fillId="4" borderId="1" xfId="0" applyFont="1" applyFill="1" applyBorder="1" applyAlignment="1">
      <x:alignment horizontal="center" vertical="center" wrapText="1"/>
    </x:xf>
    <x:xf numFmtId="0" fontId="12" fillId="0" borderId="0" xfId="0" applyFont="1" applyAlignment="1">
      <x:alignment wrapText="1"/>
    </x:xf>
    <x:xf numFmtId="0" fontId="13" fillId="0" borderId="0" xfId="0" applyFont="1" applyAlignment="1">
      <x:alignment horizontal="left" vertical="center" wrapText="1"/>
    </x:xf>
    <x:xf numFmtId="0" fontId="6" fillId="0" borderId="4" xfId="0" applyFont="1" applyBorder="1" applyAlignment="1">
      <x:alignment horizontal="center" vertical="center" wrapText="1"/>
    </x:xf>
    <x:xf numFmtId="0" fontId="5" fillId="0" borderId="28" xfId="0" applyFont="1" applyBorder="1" applyAlignment="1">
      <x:alignment horizontal="center" vertical="center" wrapText="1"/>
    </x:xf>
    <x:xf numFmtId="0" fontId="11" fillId="0" borderId="29" xfId="0" applyFont="1" applyBorder="1" applyAlignment="1">
      <x:alignment horizontal="center" vertical="center" wrapText="1"/>
    </x:xf>
    <x:xf numFmtId="0" fontId="5" fillId="0" borderId="30" xfId="0" applyFont="1" applyBorder="1" applyAlignment="1">
      <x:alignment horizontal="center" vertical="center" wrapText="1"/>
    </x:xf>
    <x:xf numFmtId="0" fontId="11" fillId="0" borderId="31" xfId="0" applyFont="1" applyBorder="1" applyAlignment="1">
      <x:alignment horizontal="center" vertical="center" wrapText="1"/>
    </x:xf>
    <x:xf numFmtId="0" fontId="5" fillId="0" borderId="31" xfId="0" applyFont="1" applyBorder="1" applyAlignment="1">
      <x:alignment horizontal="center" vertical="center" wrapText="1"/>
    </x:xf>
    <x:xf numFmtId="0" fontId="6" fillId="4" borderId="2" xfId="0" applyFont="1" applyFill="1" applyBorder="1" applyAlignment="1">
      <x:alignment horizontal="center" vertical="center" wrapText="1"/>
    </x:xf>
    <x:xf numFmtId="0" fontId="11" fillId="0" borderId="4" xfId="0" applyFont="1" applyBorder="1" applyAlignment="1">
      <x:alignment horizontal="center" vertical="center" wrapText="1"/>
    </x:xf>
    <x:xf numFmtId="0" fontId="11" fillId="0" borderId="3" xfId="0" applyFont="1" applyBorder="1" applyAlignment="1">
      <x:alignment horizontal="center" vertical="center" wrapText="1"/>
    </x:xf>
    <x:xf numFmtId="0" fontId="6" fillId="4" borderId="2" xfId="0" applyFont="1" applyFill="1" applyBorder="1" applyAlignment="1">
      <x:alignment horizontal="left" vertical="center" wrapText="1"/>
    </x:xf>
    <x:xf numFmtId="0" fontId="11" fillId="0" borderId="4" xfId="0" applyFont="1" applyBorder="1" applyAlignment="1">
      <x:alignment horizontal="left" vertical="center" wrapText="1"/>
    </x:xf>
    <x:xf numFmtId="0" fontId="11" fillId="0" borderId="3" xfId="0" applyFont="1" applyBorder="1" applyAlignment="1">
      <x:alignment horizontal="left" vertical="center" wrapText="1"/>
    </x:xf>
    <x:xf numFmtId="0" fontId="6" fillId="0" borderId="1" xfId="0" applyFont="1" applyBorder="1" applyAlignment="1">
      <x:alignment horizontal="center" vertical="center" wrapText="1"/>
    </x:xf>
    <x:xf numFmtId="0" fontId="5" fillId="0" borderId="1" xfId="0" applyFont="1" applyBorder="1" applyAlignment="1">
      <x:alignment horizontal="center" vertical="center" wrapText="1"/>
    </x:xf>
    <x:xf numFmtId="0" fontId="6" fillId="0" borderId="2"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3" xfId="0" applyFont="1" applyBorder="1" applyAlignment="1">
      <x:alignment horizontal="center" vertical="center" wrapText="1"/>
    </x:xf>
    <x:xf numFmtId="0" fontId="2" fillId="4" borderId="0" xfId="0" applyFont="1" applyFill="1" applyAlignment="1">
      <x:alignment horizontal="center" vertical="center" wrapText="1"/>
    </x:xf>
    <x:xf numFmtId="0" fontId="6" fillId="0" borderId="21" xfId="0" applyFont="1" applyBorder="1" applyAlignment="1">
      <x:alignment horizontal="center" vertical="center" wrapText="1"/>
    </x:xf>
    <x:xf numFmtId="0" fontId="5" fillId="0" borderId="22" xfId="0" applyFont="1" applyBorder="1" applyAlignment="1">
      <x:alignment vertical="center" wrapText="1"/>
    </x:xf>
    <x:xf numFmtId="0" fontId="5" fillId="0" borderId="1" xfId="0" applyFont="1" applyBorder="1" applyAlignment="1">
      <x:alignment vertical="center" wrapText="1"/>
    </x:xf>
    <x:xf numFmtId="0" fontId="5" fillId="0" borderId="10" xfId="0" applyFont="1" applyBorder="1" applyAlignment="1">
      <x:alignment vertical="center" wrapText="1"/>
    </x:xf>
    <x:xf numFmtId="0" fontId="2" fillId="3" borderId="0" xfId="0" applyFont="1" applyFill="1" applyAlignment="1">
      <x:alignment horizontal="center" vertical="center" wrapText="1"/>
    </x:xf>
    <x:xf numFmtId="0" fontId="4" fillId="2" borderId="1" xfId="0" applyFont="1" applyFill="1" applyBorder="1" applyAlignment="1">
      <x:alignment horizontal="center" vertical="center" wrapText="1"/>
    </x:xf>
    <x:xf numFmtId="0" fontId="4" fillId="2" borderId="2" xfId="0" applyFont="1" applyFill="1" applyBorder="1" applyAlignment="1">
      <x:alignment horizontal="center" vertical="center" wrapText="1"/>
    </x:xf>
    <x:xf numFmtId="0" fontId="4" fillId="2" borderId="3" xfId="0" applyFont="1" applyFill="1" applyBorder="1" applyAlignment="1">
      <x:alignment horizontal="center" vertical="center" wrapText="1"/>
    </x:xf>
    <x:xf numFmtId="0" fontId="4" fillId="2" borderId="1" xfId="0" applyFont="1" applyFill="1" applyBorder="1" applyAlignment="1">
      <x:alignment horizontal="left" vertical="center" wrapText="1"/>
    </x:xf>
    <x:xf numFmtId="0" fontId="6" fillId="0" borderId="4" xfId="0" applyFont="1" applyBorder="1" applyAlignment="1">
      <x:alignment horizontal="center" vertical="center" wrapText="1"/>
    </x:xf>
    <x:xf numFmtId="0" fontId="6" fillId="0" borderId="3" xfId="0" applyFont="1" applyBorder="1" applyAlignment="1">
      <x:alignment horizontal="center" vertical="center" wrapText="1"/>
    </x:xf>
    <x:xf numFmtId="164" fontId="5" fillId="0" borderId="0" xfId="0" applyNumberFormat="1" applyFont="1" applyAlignment="1">
      <x:alignment horizontal="center" vertical="center" wrapText="1"/>
    </x:xf>
    <x:xf numFmtId="0" fontId="5" fillId="4" borderId="4" xfId="0" applyFont="1" applyFill="1" applyBorder="1" applyAlignment="1">
      <x:alignment horizontal="center" vertical="center" wrapText="1"/>
    </x:xf>
    <x:xf numFmtId="0" fontId="6" fillId="4" borderId="1" xfId="0" applyFont="1" applyFill="1" applyBorder="1" applyAlignment="1">
      <x:alignment horizontal="center" vertical="center" wrapText="1"/>
    </x:xf>
    <x:xf numFmtId="0" fontId="5" fillId="4" borderId="1" xfId="0" applyFont="1" applyFill="1" applyBorder="1" applyAlignment="1">
      <x:alignment horizontal="center" vertical="center" wrapText="1"/>
    </x:xf>
    <x:xf numFmtId="0" fontId="5" fillId="4" borderId="2" xfId="0" applyFont="1" applyFill="1" applyBorder="1" applyAlignment="1">
      <x:alignment horizontal="center" vertical="center" wrapText="1"/>
    </x:xf>
    <x:xf numFmtId="0" fontId="5" fillId="4" borderId="2" xfId="0" applyFont="1" applyFill="1" applyBorder="1" applyAlignment="1">
      <x:alignment horizontal="left" vertical="center" wrapText="1"/>
    </x:xf>
    <x:xf numFmtId="0" fontId="9" fillId="0" borderId="18" xfId="0" applyFont="1" applyBorder="1" applyAlignment="1">
      <x:alignment horizontal="center" vertical="center" wrapText="1"/>
    </x:xf>
    <x:xf numFmtId="0" fontId="9" fillId="0" borderId="19" xfId="0" applyFont="1" applyBorder="1" applyAlignment="1">
      <x:alignment horizontal="center" vertical="center" wrapText="1"/>
    </x:xf>
    <x:xf numFmtId="0" fontId="2" fillId="4" borderId="1" xfId="0" applyFont="1" applyFill="1" applyBorder="1" applyAlignment="1">
      <x:alignment horizontal="left" vertical="center" wrapText="1"/>
    </x:xf>
    <x:xf numFmtId="0" fontId="6" fillId="4" borderId="1" xfId="0" applyFont="1" applyFill="1" applyBorder="1" applyAlignment="1">
      <x:alignment horizontal="left" vertical="center" wrapText="1"/>
    </x:xf>
    <x:xf numFmtId="0" fontId="5" fillId="4" borderId="1" xfId="0" applyFont="1" applyFill="1" applyBorder="1" applyAlignment="1">
      <x:alignment horizontal="left" vertical="center" wrapText="1"/>
    </x:xf>
    <x:xf numFmtId="0" fontId="11" fillId="4" borderId="3" xfId="0" applyFont="1" applyFill="1" applyBorder="1" applyAlignment="1">
      <x:alignment horizontal="left" vertical="center" wrapText="1"/>
    </x:xf>
    <x:xf numFmtId="0" fontId="6" fillId="0" borderId="1" xfId="0" applyFont="1" applyBorder="1" applyAlignment="1">
      <x:alignment horizontal="left" vertical="center" wrapText="1"/>
    </x:xf>
    <x:xf numFmtId="0" fontId="5" fillId="0" borderId="1" xfId="0" applyFont="1" applyBorder="1" applyAlignment="1">
      <x:alignment horizontal="left" vertical="center" wrapText="1"/>
    </x:xf>
    <x:xf numFmtId="0" fontId="5" fillId="4" borderId="8" xfId="0" applyFont="1" applyFill="1" applyBorder="1" applyAlignment="1">
      <x:alignment horizontal="left" vertical="center" wrapText="1"/>
    </x:xf>
    <x:xf numFmtId="0" fontId="11" fillId="0" borderId="7" xfId="0" applyFont="1" applyBorder="1" applyAlignment="1">
      <x:alignment horizontal="left" vertical="center" wrapText="1"/>
    </x:xf>
    <x:xf numFmtId="0" fontId="11" fillId="0" borderId="9" xfId="0" applyFont="1" applyBorder="1" applyAlignment="1">
      <x:alignment horizontal="left" vertical="center" wrapText="1"/>
    </x:xf>
    <x:xf numFmtId="0" fontId="5" fillId="4" borderId="8" xfId="0" applyFont="1" applyFill="1" applyBorder="1" applyAlignment="1">
      <x:alignment horizontal="center" vertical="center" wrapText="1"/>
    </x:xf>
    <x:xf numFmtId="0" fontId="11" fillId="0" borderId="7" xfId="0" applyFont="1" applyBorder="1" applyAlignment="1">
      <x:alignment horizontal="center" vertical="center" wrapText="1"/>
    </x:xf>
    <x:xf numFmtId="0" fontId="11" fillId="0" borderId="9" xfId="0" applyFont="1" applyBorder="1" applyAlignment="1">
      <x:alignment horizontal="center" vertical="center" wrapText="1"/>
    </x:xf>
    <x:xf numFmtId="0" fontId="11" fillId="4" borderId="4" xfId="0" applyFont="1" applyFill="1" applyBorder="1" applyAlignment="1">
      <x:alignment horizontal="center" vertical="center" wrapText="1"/>
    </x:xf>
    <x:xf numFmtId="0" fontId="11" fillId="4" borderId="3" xfId="0" applyFont="1" applyFill="1" applyBorder="1" applyAlignment="1">
      <x:alignment horizontal="center" vertical="center" wrapText="1"/>
    </x:xf>
    <x:xf numFmtId="0" fontId="5" fillId="0" borderId="0" xfId="0" applyFont="1" applyAlignment="1">
      <x:alignment horizontal="center" vertical="center" wrapText="1"/>
    </x:xf>
    <x:xf numFmtId="0" fontId="11" fillId="0" borderId="0" xfId="0" applyFont="1" applyAlignment="1">
      <x:alignment horizontal="center" vertical="center" wrapText="1"/>
    </x:xf>
    <x:xf numFmtId="0" fontId="5" fillId="4" borderId="7" xfId="0" applyFont="1" applyFill="1" applyBorder="1" applyAlignment="1">
      <x:alignment horizontal="center" vertical="center" wrapText="1"/>
    </x:xf>
    <x:xf numFmtId="0" fontId="5" fillId="4" borderId="9" xfId="0" applyFont="1" applyFill="1" applyBorder="1" applyAlignment="1">
      <x:alignment horizontal="center" vertical="center" wrapText="1"/>
    </x:xf>
    <x:xf numFmtId="0" fontId="5" fillId="0" borderId="2" xfId="0" applyFont="1" applyBorder="1" applyAlignment="1">
      <x:alignment horizontal="left" vertical="center" wrapText="1"/>
    </x:xf>
    <x:xf numFmtId="0" fontId="5" fillId="0" borderId="4" xfId="0" applyFont="1" applyBorder="1" applyAlignment="1">
      <x:alignment horizontal="left" vertical="center" wrapText="1"/>
    </x:xf>
    <x:xf numFmtId="0" fontId="5" fillId="0" borderId="3" xfId="0" applyFont="1" applyBorder="1" applyAlignment="1">
      <x:alignment horizontal="left" vertical="center" wrapText="1"/>
    </x:xf>
    <x:xf numFmtId="0" fontId="6" fillId="0" borderId="2" xfId="0" applyFont="1" applyBorder="1" applyAlignment="1">
      <x:alignment horizontal="left" vertical="center" wrapText="1"/>
    </x:xf>
    <x:xf numFmtId="0" fontId="6" fillId="0" borderId="13" xfId="0" applyFont="1" applyBorder="1" applyAlignment="1">
      <x:alignment horizontal="center" vertical="center" wrapText="1"/>
    </x:xf>
    <x:xf numFmtId="0" fontId="5" fillId="0" borderId="14" xfId="0" applyFont="1" applyBorder="1" applyAlignment="1">
      <x:alignment horizontal="center" vertical="center" wrapText="1"/>
    </x:xf>
    <x:xf numFmtId="0" fontId="5" fillId="0" borderId="15" xfId="0" applyFont="1" applyBorder="1" applyAlignment="1">
      <x:alignment horizontal="center" vertical="center" wrapText="1"/>
    </x:xf>
    <x:xf numFmtId="0" fontId="5" fillId="4" borderId="3" xfId="0" applyFont="1" applyFill="1" applyBorder="1" applyAlignment="1">
      <x:alignment horizontal="center" vertical="center" wrapText="1"/>
    </x:xf>
    <x:xf numFmtId="0" fontId="5" fillId="4" borderId="4" xfId="0" applyFont="1" applyFill="1" applyBorder="1" applyAlignment="1">
      <x:alignment horizontal="left" vertical="center" wrapText="1"/>
    </x:xf>
    <x:xf numFmtId="0" fontId="5" fillId="4" borderId="3" xfId="0" applyFont="1" applyFill="1" applyBorder="1" applyAlignment="1">
      <x:alignment horizontal="left" vertical="center" wrapText="1"/>
    </x:xf>
    <x:xf numFmtId="0" fontId="5" fillId="4" borderId="16" xfId="0" applyFont="1" applyFill="1" applyBorder="1" applyAlignment="1">
      <x:alignment horizontal="center" vertical="center" wrapText="1"/>
    </x:xf>
    <x:xf numFmtId="0" fontId="11" fillId="0" borderId="17" xfId="0" applyFont="1" applyBorder="1" applyAlignment="1">
      <x:alignment horizontal="center" vertical="center" wrapText="1"/>
    </x:xf>
    <x:xf numFmtId="0" fontId="5" fillId="0" borderId="16" xfId="0" applyFont="1" applyBorder="1" applyAlignment="1">
      <x:alignment horizontal="center" vertical="center" wrapText="1"/>
    </x:xf>
    <x:xf numFmtId="0" fontId="11" fillId="0" borderId="23" xfId="0" applyFont="1" applyBorder="1" applyAlignment="1">
      <x:alignment horizontal="center" vertical="center" wrapText="1"/>
    </x:xf>
    <x:xf numFmtId="0" fontId="11" fillId="0" borderId="24" xfId="0" applyFont="1" applyBorder="1" applyAlignment="1">
      <x:alignment horizontal="left" vertical="center" wrapText="1"/>
    </x:xf>
    <x:xf numFmtId="0" fontId="5" fillId="4" borderId="5" xfId="0" applyFont="1" applyFill="1" applyBorder="1" applyAlignment="1">
      <x:alignment horizontal="left" vertical="center" wrapText="1"/>
    </x:xf>
    <x:xf numFmtId="0" fontId="11" fillId="0" borderId="25" xfId="0" applyFont="1" applyBorder="1" applyAlignment="1">
      <x:alignment horizontal="left" vertical="center" wrapText="1"/>
    </x:xf>
    <x:xf numFmtId="0" fontId="5" fillId="0" borderId="5" xfId="0" applyFont="1" applyBorder="1" applyAlignment="1">
      <x:alignment wrapText="1"/>
    </x:xf>
    <x:xf numFmtId="0" fontId="5" fillId="0" borderId="0" xfId="0" applyFont="1" applyAlignment="1">
      <x:alignment wrapText="1"/>
    </x:xf>
    <x:xf numFmtId="0" fontId="11" fillId="0" borderId="0" xfId="0" applyFont="1" applyAlignment="1">
      <x:alignment wrapText="1"/>
    </x:xf>
    <x:xf numFmtId="0" fontId="6" fillId="0" borderId="5" xfId="0" applyFont="1" applyBorder="1" applyAlignment="1">
      <x:alignment horizontal="center" vertical="center" wrapText="1"/>
    </x:xf>
    <x:xf numFmtId="0" fontId="5" fillId="0" borderId="0" xfId="0" applyFont="1" applyAlignment="1">
      <x:alignment vertical="center" wrapText="1"/>
    </x:xf>
    <x:xf numFmtId="0" fontId="5" fillId="0" borderId="12" xfId="0" applyFont="1" applyBorder="1" applyAlignment="1">
      <x:alignment vertical="center" wrapText="1"/>
    </x:xf>
    <x:xf numFmtId="0" fontId="0" fillId="0" borderId="32" xfId="0" applyNumberFormat="1" applyFont="1" applyFill="1" applyBorder="1"/>
    <x:xf numFmtId="0" fontId="5" fillId="0" borderId="33" xfId="0" applyNumberFormat="1" applyFont="1" applyFill="1" applyBorder="1" applyAlignment="1">
      <x:alignment horizontal="center" vertical="center" wrapText="1"/>
    </x:xf>
    <x:xf numFmtId="0" fontId="6" fillId="0" borderId="33" xfId="0" applyNumberFormat="1" applyFont="1" applyFill="1" applyBorder="1" applyAlignment="1">
      <x:alignment horizontal="center" vertical="center" wrapText="1"/>
    </x:xf>
    <x:xf numFmtId="0" fontId="5" fillId="4" borderId="33" xfId="0" applyNumberFormat="1" applyFont="1" applyFill="1" applyBorder="1" applyAlignment="1">
      <x:alignment horizontal="center" vertical="center" wrapText="1"/>
    </x:xf>
    <x:xf numFmtId="0" fontId="6" fillId="4" borderId="33" xfId="0" applyNumberFormat="1" applyFont="1" applyFill="1" applyBorder="1" applyAlignment="1">
      <x:alignment horizontal="center" vertical="center" wrapText="1"/>
    </x:xf>
    <x:xf numFmtId="0" fontId="5" fillId="0" borderId="34" xfId="0" applyNumberFormat="1" applyFont="1" applyFill="1" applyBorder="1" applyAlignment="1">
      <x:alignment vertical="center" wrapText="1"/>
    </x:xf>
    <x:xf numFmtId="0" fontId="6" fillId="0" borderId="35" xfId="0" applyNumberFormat="1" applyFont="1" applyFill="1" applyBorder="1" applyAlignment="1">
      <x:alignment horizontal="center" vertical="center" wrapText="1"/>
    </x:xf>
    <x:xf numFmtId="0" fontId="6" fillId="0" borderId="33" xfId="0" applyNumberFormat="1" applyFont="1" applyFill="1" applyBorder="1" applyAlignment="1">
      <x:alignment horizontal="left" vertical="center" wrapText="1"/>
    </x:xf>
    <x:xf numFmtId="0" fontId="6" fillId="0" borderId="36" xfId="0" applyNumberFormat="1" applyFont="1" applyFill="1" applyBorder="1" applyAlignment="1">
      <x:alignment horizontal="center" vertical="center" wrapText="1"/>
    </x:xf>
    <x:xf numFmtId="0" fontId="5" fillId="0" borderId="33" xfId="0" applyNumberFormat="1" applyFont="1" applyFill="1" applyBorder="1" applyAlignment="1">
      <x:alignment horizontal="left" vertical="center" wrapText="1"/>
    </x:xf>
    <x:xf numFmtId="0" fontId="6" fillId="4" borderId="33" xfId="0" applyNumberFormat="1" applyFont="1" applyFill="1" applyBorder="1" applyAlignment="1">
      <x:alignment horizontal="left" vertical="center" wrapText="1"/>
    </x:xf>
    <x:xf numFmtId="0" fontId="6" fillId="0" borderId="37" xfId="0" applyNumberFormat="1" applyFont="1" applyFill="1" applyBorder="1" applyAlignment="1">
      <x:alignment horizontal="center" vertical="center" wrapText="1"/>
    </x:xf>
    <x:xf numFmtId="0" fontId="5" fillId="0" borderId="32" xfId="0" applyNumberFormat="1" applyFont="1" applyFill="1" applyBorder="1" applyAlignment="1">
      <x:alignment vertical="center" wrapText="1"/>
    </x:xf>
    <x:xf numFmtId="0" fontId="5" fillId="0" borderId="32" xfId="0" applyNumberFormat="1" applyFont="1" applyFill="1" applyBorder="1" applyAlignment="1">
      <x:alignment wrapText="1"/>
    </x:xf>
    <x:xf numFmtId="0" fontId="4" fillId="2" borderId="38" xfId="0" applyNumberFormat="1" applyFont="1" applyFill="1" applyBorder="1" applyAlignment="1">
      <x:alignment horizontal="center" vertical="center" wrapText="1"/>
    </x:xf>
    <x:xf numFmtId="164" fontId="5" fillId="0" borderId="32" xfId="0" applyNumberFormat="1" applyFont="1" applyFill="1" applyBorder="1" applyAlignment="1">
      <x:alignment horizontal="center" vertical="center" wrapText="1"/>
    </x:xf>
    <x:xf numFmtId="0" fontId="10" fillId="0" borderId="32" xfId="0" applyNumberFormat="1" applyFont="1" applyFill="1" applyBorder="1" applyAlignment="1">
      <x:alignment vertical="center" wrapText="1"/>
    </x:xf>
    <x:xf numFmtId="0" fontId="5" fillId="0" borderId="39" xfId="0" applyNumberFormat="1" applyFont="1" applyFill="1" applyBorder="1" applyAlignment="1">
      <x:alignment vertical="center" wrapText="1"/>
    </x:xf>
    <x:xf numFmtId="0" fontId="6" fillId="0" borderId="32" xfId="0" applyNumberFormat="1" applyFont="1" applyFill="1" applyBorder="1" applyAlignment="1">
      <x:alignment horizontal="center" vertical="center" wrapText="1"/>
    </x:xf>
    <x:xf numFmtId="0" fontId="5" fillId="0" borderId="39" xfId="0" applyNumberFormat="1" applyFont="1" applyFill="1" applyBorder="1" applyAlignment="1">
      <x:alignment wrapText="1"/>
    </x:xf>
    <x:xf numFmtId="0" fontId="5" fillId="0" borderId="32" xfId="0" applyNumberFormat="1" applyFont="1" applyFill="1" applyBorder="1" applyAlignment="1">
      <x:alignment horizontal="center" vertical="center" wrapText="1"/>
    </x:xf>
    <x:xf numFmtId="0" fontId="8" fillId="4" borderId="33" xfId="0" applyNumberFormat="1" applyFont="1" applyFill="1" applyBorder="1" applyAlignment="1">
      <x:alignment horizontal="left" vertical="center" wrapText="1"/>
    </x:xf>
    <x:xf numFmtId="0" fontId="5" fillId="4" borderId="35" xfId="0" applyNumberFormat="1" applyFont="1" applyFill="1" applyBorder="1" applyAlignment="1">
      <x:alignment horizontal="center" vertical="center" wrapText="1"/>
    </x:xf>
    <x:xf numFmtId="0" fontId="5" fillId="4" borderId="33" xfId="0" applyNumberFormat="1" applyFont="1" applyFill="1" applyBorder="1" applyAlignment="1">
      <x:alignment horizontal="left" vertical="center" wrapText="1"/>
    </x:xf>
    <x:xf numFmtId="0" fontId="5" fillId="4" borderId="35" xfId="0" applyNumberFormat="1" applyFont="1" applyFill="1" applyBorder="1" applyAlignment="1">
      <x:alignment horizontal="left" vertical="center" wrapText="1"/>
    </x:xf>
    <x:xf numFmtId="0" fontId="6" fillId="4" borderId="40" xfId="0" applyNumberFormat="1" applyFont="1" applyFill="1" applyBorder="1" applyAlignment="1">
      <x:alignment horizontal="left" vertical="center" wrapText="1"/>
    </x:xf>
    <x:xf numFmtId="0" fontId="5" fillId="0" borderId="32" xfId="0" applyNumberFormat="1" applyFont="1" applyFill="1" applyBorder="1" applyAlignment="1">
      <x:alignment horizontal="left" vertical="center" wrapText="1"/>
    </x:xf>
    <x:xf numFmtId="0" fontId="5" fillId="0" borderId="41" xfId="0" applyNumberFormat="1" applyFont="1" applyFill="1" applyBorder="1" applyAlignment="1">
      <x:alignment horizontal="center" vertical="center" wrapText="1"/>
    </x:xf>
    <x:xf numFmtId="0" fontId="9" fillId="0" borderId="42" xfId="0" applyNumberFormat="1" applyFont="1" applyFill="1" applyBorder="1" applyAlignment="1">
      <x:alignment horizontal="center" vertical="center" wrapText="1"/>
    </x:xf>
    <x:xf numFmtId="0" fontId="5" fillId="0" borderId="43" xfId="0" applyNumberFormat="1" applyFont="1" applyFill="1" applyBorder="1" applyAlignment="1">
      <x:alignment horizontal="center" vertical="center" wrapText="1"/>
    </x:xf>
    <x:xf numFmtId="0" fontId="5" fillId="4" borderId="32" xfId="0" applyNumberFormat="1" applyFont="1" applyFill="1" applyBorder="1" applyAlignment="1">
      <x:alignment horizontal="center" vertical="center" wrapText="1"/>
    </x:xf>
    <x:xf numFmtId="0" fontId="5" fillId="4" borderId="44" xfId="0" applyNumberFormat="1" applyFont="1" applyFill="1" applyBorder="1" applyAlignment="1">
      <x:alignment horizontal="center" vertical="center" wrapText="1"/>
    </x:xf>
    <x:xf numFmtId="0" fontId="5" fillId="4" borderId="44" xfId="0" applyNumberFormat="1" applyFont="1" applyFill="1" applyBorder="1" applyAlignment="1">
      <x:alignment horizontal="left" vertical="center" wrapText="1"/>
    </x:xf>
    <x:xf numFmtId="0" fontId="5" fillId="4" borderId="45" xfId="0" applyNumberFormat="1" applyFont="1" applyFill="1" applyBorder="1" applyAlignment="1">
      <x:alignment horizontal="center" vertical="center" wrapText="1"/>
    </x:xf>
    <x:xf numFmtId="0" fontId="5" fillId="4" borderId="46" xfId="0" applyNumberFormat="1" applyFont="1" applyFill="1" applyBorder="1" applyAlignment="1">
      <x:alignment horizontal="center" vertical="center" wrapText="1"/>
    </x:xf>
    <x:xf numFmtId="0" fontId="2" fillId="5" borderId="33" xfId="0" applyNumberFormat="1" applyFont="1" applyFill="1" applyBorder="1" applyAlignment="1">
      <x:alignment horizontal="left" vertical="center" wrapText="1"/>
    </x:xf>
    <x:xf numFmtId="0" fontId="2" fillId="6" borderId="33" xfId="0" applyNumberFormat="1" applyFont="1" applyFill="1" applyBorder="1" applyAlignment="1">
      <x:alignment horizontal="left" vertical="center" wrapText="1"/>
    </x:xf>
    <x:xf numFmtId="0" fontId="4" fillId="7" borderId="33" xfId="0" applyNumberFormat="1" applyFont="1" applyFill="1" applyBorder="1" applyAlignment="1">
      <x:alignment horizontal="left" vertical="center" wrapText="1"/>
    </x:xf>
    <x:xf numFmtId="14" fontId="6" fillId="4" borderId="33" xfId="0" applyNumberFormat="1" applyFont="1" applyFill="1" applyBorder="1" applyAlignment="1">
      <x:alignment horizontal="left" vertical="center" wrapText="1"/>
    </x:xf>
    <x:xf numFmtId="0" fontId="6" fillId="4" borderId="47" xfId="0" applyNumberFormat="1" applyFont="1" applyFill="1" applyBorder="1" applyAlignment="1">
      <x:alignment horizontal="left" vertical="center" wrapText="1"/>
    </x:xf>
    <x:xf numFmtId="0" fontId="6" fillId="4" borderId="48" xfId="0" applyNumberFormat="1" applyFont="1" applyFill="1" applyBorder="1" applyAlignment="1">
      <x:alignment horizontal="left" vertical="center" wrapText="1"/>
    </x:xf>
    <x:xf numFmtId="0" fontId="8" fillId="4" borderId="48" xfId="0" applyNumberFormat="1" applyFont="1" applyFill="1" applyBorder="1" applyAlignment="1">
      <x:alignment horizontal="left" vertical="center" wrapText="1"/>
    </x:xf>
    <x:xf numFmtId="0" fontId="12" fillId="4" borderId="33" xfId="0" applyNumberFormat="1" applyFont="1" applyFill="1" applyBorder="1" applyAlignment="1">
      <x:alignment horizontal="left" vertical="center" wrapText="1"/>
    </x:xf>
    <x:xf numFmtId="0" fontId="12" fillId="4" borderId="33" xfId="0" applyNumberFormat="1" applyFont="1" applyFill="1" applyBorder="1" applyAlignment="1">
      <x:alignment horizontal="center" vertical="center" wrapText="1"/>
    </x:xf>
    <x:xf numFmtId="0" fontId="12" fillId="0" borderId="32" xfId="0" applyNumberFormat="1" applyFont="1" applyFill="1" applyBorder="1" applyAlignment="1">
      <x:alignment wrapText="1"/>
    </x:xf>
    <x:xf numFmtId="0" fontId="13" fillId="0" borderId="32" xfId="0" applyNumberFormat="1" applyFont="1" applyFill="1" applyBorder="1" applyAlignment="1">
      <x:alignment horizontal="left" vertical="center" wrapText="1"/>
    </x:xf>
    <x:xf numFmtId="0" fontId="6" fillId="0" borderId="43" xfId="0" applyNumberFormat="1" applyFont="1" applyFill="1" applyBorder="1" applyAlignment="1">
      <x:alignment horizontal="center" vertical="center" wrapText="1"/>
    </x:xf>
    <x:xf numFmtId="0" fontId="5" fillId="0" borderId="49" xfId="0" applyNumberFormat="1" applyFont="1" applyFill="1" applyBorder="1" applyAlignment="1">
      <x:alignment horizontal="center" vertical="center" wrapText="1"/>
    </x:xf>
    <x:xf numFmtId="0" fontId="11" fillId="0" borderId="50" xfId="0" applyNumberFormat="1" applyFont="1" applyFill="1" applyBorder="1" applyAlignment="1">
      <x:alignment horizontal="center" vertical="center" wrapText="1"/>
    </x:xf>
    <x:xf numFmtId="0" fontId="5" fillId="0" borderId="51" xfId="0" applyNumberFormat="1" applyFont="1" applyFill="1" applyBorder="1" applyAlignment="1">
      <x:alignment horizontal="center" vertical="center" wrapText="1"/>
    </x:xf>
    <x:xf numFmtId="0" fontId="11" fillId="0" borderId="52" xfId="0" applyNumberFormat="1" applyFont="1" applyFill="1" applyBorder="1" applyAlignment="1">
      <x:alignment horizontal="center" vertical="center" wrapText="1"/>
    </x:xf>
    <x:xf numFmtId="0" fontId="5" fillId="0" borderId="52" xfId="0" applyNumberFormat="1" applyFont="1" applyFill="1" applyBorder="1" applyAlignment="1">
      <x:alignment horizontal="center" vertical="center" wrapText="1"/>
    </x:xf>
    <x:xf numFmtId="0" fontId="6" fillId="4" borderId="35" xfId="0" applyNumberFormat="1" applyFont="1" applyFill="1" applyBorder="1" applyAlignment="1">
      <x:alignment horizontal="center" vertical="center" wrapText="1"/>
    </x:xf>
    <x:xf numFmtId="0" fontId="11" fillId="0" borderId="43" xfId="0" applyNumberFormat="1" applyFont="1" applyFill="1" applyBorder="1" applyAlignment="1">
      <x:alignment horizontal="center" vertical="center" wrapText="1"/>
    </x:xf>
    <x:xf numFmtId="0" fontId="11" fillId="0" borderId="36" xfId="0" applyNumberFormat="1" applyFont="1" applyFill="1" applyBorder="1" applyAlignment="1">
      <x:alignment horizontal="center" vertical="center" wrapText="1"/>
    </x:xf>
    <x:xf numFmtId="0" fontId="6" fillId="4" borderId="35" xfId="0" applyNumberFormat="1" applyFont="1" applyFill="1" applyBorder="1" applyAlignment="1">
      <x:alignment horizontal="left" vertical="center" wrapText="1"/>
    </x:xf>
    <x:xf numFmtId="0" fontId="11" fillId="0" borderId="43" xfId="0" applyNumberFormat="1" applyFont="1" applyFill="1" applyBorder="1" applyAlignment="1">
      <x:alignment horizontal="left" vertical="center" wrapText="1"/>
    </x:xf>
    <x:xf numFmtId="0" fontId="11" fillId="0" borderId="36" xfId="0" applyNumberFormat="1" applyFont="1" applyFill="1" applyBorder="1" applyAlignment="1">
      <x:alignment horizontal="left" vertical="center" wrapText="1"/>
    </x:xf>
    <x:xf numFmtId="0" fontId="5" fillId="0" borderId="36" xfId="0" applyNumberFormat="1" applyFont="1" applyFill="1" applyBorder="1" applyAlignment="1">
      <x:alignment horizontal="center" vertical="center" wrapText="1"/>
    </x:xf>
    <x:xf numFmtId="0" fontId="2" fillId="4" borderId="32" xfId="0" applyNumberFormat="1" applyFont="1" applyFill="1" applyBorder="1" applyAlignment="1">
      <x:alignment horizontal="center" vertical="center" wrapText="1"/>
    </x:xf>
    <x:xf numFmtId="0" fontId="6" fillId="0" borderId="38" xfId="0" applyNumberFormat="1" applyFont="1" applyFill="1" applyBorder="1" applyAlignment="1">
      <x:alignment horizontal="center" vertical="center" wrapText="1"/>
    </x:xf>
    <x:xf numFmtId="0" fontId="5" fillId="0" borderId="33" xfId="0" applyNumberFormat="1" applyFont="1" applyFill="1" applyBorder="1" applyAlignment="1">
      <x:alignment vertical="center" wrapText="1"/>
    </x:xf>
    <x:xf numFmtId="0" fontId="5" fillId="0" borderId="40" xfId="0" applyNumberFormat="1" applyFont="1" applyFill="1" applyBorder="1" applyAlignment="1">
      <x:alignment vertical="center" wrapText="1"/>
    </x:xf>
    <x:xf numFmtId="0" fontId="2" fillId="3" borderId="32" xfId="0" applyNumberFormat="1" applyFont="1" applyFill="1" applyBorder="1" applyAlignment="1">
      <x:alignment horizontal="center" vertical="center" wrapText="1"/>
    </x:xf>
    <x:xf numFmtId="0" fontId="4" fillId="2" borderId="33" xfId="0" applyNumberFormat="1" applyFont="1" applyFill="1" applyBorder="1" applyAlignment="1">
      <x:alignment horizontal="center" vertical="center" wrapText="1"/>
    </x:xf>
    <x:xf numFmtId="0" fontId="4" fillId="2" borderId="35" xfId="0" applyNumberFormat="1" applyFont="1" applyFill="1" applyBorder="1" applyAlignment="1">
      <x:alignment horizontal="center" vertical="center" wrapText="1"/>
    </x:xf>
    <x:xf numFmtId="0" fontId="4" fillId="2" borderId="36" xfId="0" applyNumberFormat="1" applyFont="1" applyFill="1" applyBorder="1" applyAlignment="1">
      <x:alignment horizontal="center" vertical="center" wrapText="1"/>
    </x:xf>
    <x:xf numFmtId="0" fontId="4" fillId="2" borderId="33" xfId="0" applyNumberFormat="1" applyFont="1" applyFill="1" applyBorder="1" applyAlignment="1">
      <x:alignment horizontal="left" vertical="center" wrapText="1"/>
    </x:xf>
    <x:xf numFmtId="0" fontId="5" fillId="4" borderId="43" xfId="0" applyNumberFormat="1" applyFont="1" applyFill="1" applyBorder="1" applyAlignment="1">
      <x:alignment horizontal="center" vertical="center" wrapText="1"/>
    </x:xf>
    <x:xf numFmtId="0" fontId="9" fillId="0" borderId="53" xfId="0" applyNumberFormat="1" applyFont="1" applyFill="1" applyBorder="1" applyAlignment="1">
      <x:alignment horizontal="center" vertical="center" wrapText="1"/>
    </x:xf>
    <x:xf numFmtId="0" fontId="9" fillId="0" borderId="41" xfId="0" applyNumberFormat="1" applyFont="1" applyFill="1" applyBorder="1" applyAlignment="1">
      <x:alignment horizontal="center" vertical="center" wrapText="1"/>
    </x:xf>
    <x:xf numFmtId="0" fontId="2" fillId="4" borderId="33" xfId="0" applyNumberFormat="1" applyFont="1" applyFill="1" applyBorder="1" applyAlignment="1">
      <x:alignment horizontal="left" vertical="center" wrapText="1"/>
    </x:xf>
    <x:xf numFmtId="0" fontId="11" fillId="4" borderId="36" xfId="0" applyNumberFormat="1" applyFont="1" applyFill="1" applyBorder="1" applyAlignment="1">
      <x:alignment horizontal="left" vertical="center" wrapText="1"/>
    </x:xf>
    <x:xf numFmtId="0" fontId="5" fillId="4" borderId="54" xfId="0" applyNumberFormat="1" applyFont="1" applyFill="1" applyBorder="1" applyAlignment="1">
      <x:alignment horizontal="left" vertical="center" wrapText="1"/>
    </x:xf>
    <x:xf numFmtId="0" fontId="11" fillId="0" borderId="45" xfId="0" applyNumberFormat="1" applyFont="1" applyFill="1" applyBorder="1" applyAlignment="1">
      <x:alignment horizontal="left" vertical="center" wrapText="1"/>
    </x:xf>
    <x:xf numFmtId="0" fontId="11" fillId="0" borderId="46" xfId="0" applyNumberFormat="1" applyFont="1" applyFill="1" applyBorder="1" applyAlignment="1">
      <x:alignment horizontal="left" vertical="center" wrapText="1"/>
    </x:xf>
    <x:xf numFmtId="0" fontId="5" fillId="4" borderId="54" xfId="0" applyNumberFormat="1" applyFont="1" applyFill="1" applyBorder="1" applyAlignment="1">
      <x:alignment horizontal="center" vertical="center" wrapText="1"/>
    </x:xf>
    <x:xf numFmtId="0" fontId="11" fillId="0" borderId="45" xfId="0" applyNumberFormat="1" applyFont="1" applyFill="1" applyBorder="1" applyAlignment="1">
      <x:alignment horizontal="center" vertical="center" wrapText="1"/>
    </x:xf>
    <x:xf numFmtId="0" fontId="11" fillId="0" borderId="46" xfId="0" applyNumberFormat="1" applyFont="1" applyFill="1" applyBorder="1" applyAlignment="1">
      <x:alignment horizontal="center" vertical="center" wrapText="1"/>
    </x:xf>
    <x:xf numFmtId="0" fontId="11" fillId="4" borderId="43" xfId="0" applyNumberFormat="1" applyFont="1" applyFill="1" applyBorder="1" applyAlignment="1">
      <x:alignment horizontal="center" vertical="center" wrapText="1"/>
    </x:xf>
    <x:xf numFmtId="0" fontId="11" fillId="4" borderId="36" xfId="0" applyNumberFormat="1" applyFont="1" applyFill="1" applyBorder="1" applyAlignment="1">
      <x:alignment horizontal="center" vertical="center" wrapText="1"/>
    </x:xf>
    <x:xf numFmtId="0" fontId="11" fillId="0" borderId="32" xfId="0" applyNumberFormat="1" applyFont="1" applyFill="1" applyBorder="1" applyAlignment="1">
      <x:alignment horizontal="center" vertical="center" wrapText="1"/>
    </x:xf>
    <x:xf numFmtId="0" fontId="5" fillId="0" borderId="35" xfId="0" applyNumberFormat="1" applyFont="1" applyFill="1" applyBorder="1" applyAlignment="1">
      <x:alignment horizontal="left" vertical="center" wrapText="1"/>
    </x:xf>
    <x:xf numFmtId="0" fontId="5" fillId="0" borderId="43" xfId="0" applyNumberFormat="1" applyFont="1" applyFill="1" applyBorder="1" applyAlignment="1">
      <x:alignment horizontal="left" vertical="center" wrapText="1"/>
    </x:xf>
    <x:xf numFmtId="0" fontId="5" fillId="0" borderId="36" xfId="0" applyNumberFormat="1" applyFont="1" applyFill="1" applyBorder="1" applyAlignment="1">
      <x:alignment horizontal="left" vertical="center" wrapText="1"/>
    </x:xf>
    <x:xf numFmtId="0" fontId="6" fillId="0" borderId="35" xfId="0" applyNumberFormat="1" applyFont="1" applyFill="1" applyBorder="1" applyAlignment="1">
      <x:alignment horizontal="left" vertical="center" wrapText="1"/>
    </x:xf>
    <x:xf numFmtId="0" fontId="6" fillId="0" borderId="55" xfId="0" applyNumberFormat="1" applyFont="1" applyFill="1" applyBorder="1" applyAlignment="1">
      <x:alignment horizontal="center" vertical="center" wrapText="1"/>
    </x:xf>
    <x:xf numFmtId="0" fontId="5" fillId="0" borderId="56" xfId="0" applyNumberFormat="1" applyFont="1" applyFill="1" applyBorder="1" applyAlignment="1">
      <x:alignment horizontal="center" vertical="center" wrapText="1"/>
    </x:xf>
    <x:xf numFmtId="0" fontId="5" fillId="0" borderId="57" xfId="0" applyNumberFormat="1" applyFont="1" applyFill="1" applyBorder="1" applyAlignment="1">
      <x:alignment horizontal="center" vertical="center" wrapText="1"/>
    </x:xf>
    <x:xf numFmtId="0" fontId="5" fillId="4" borderId="36" xfId="0" applyNumberFormat="1" applyFont="1" applyFill="1" applyBorder="1" applyAlignment="1">
      <x:alignment horizontal="center" vertical="center" wrapText="1"/>
    </x:xf>
    <x:xf numFmtId="0" fontId="5" fillId="4" borderId="43" xfId="0" applyNumberFormat="1" applyFont="1" applyFill="1" applyBorder="1" applyAlignment="1">
      <x:alignment horizontal="left" vertical="center" wrapText="1"/>
    </x:xf>
    <x:xf numFmtId="0" fontId="5" fillId="4" borderId="36" xfId="0" applyNumberFormat="1" applyFont="1" applyFill="1" applyBorder="1" applyAlignment="1">
      <x:alignment horizontal="left" vertical="center" wrapText="1"/>
    </x:xf>
    <x:xf numFmtId="0" fontId="5" fillId="4" borderId="58" xfId="0" applyNumberFormat="1" applyFont="1" applyFill="1" applyBorder="1" applyAlignment="1">
      <x:alignment horizontal="center" vertical="center" wrapText="1"/>
    </x:xf>
    <x:xf numFmtId="0" fontId="11" fillId="0" borderId="59" xfId="0" applyNumberFormat="1" applyFont="1" applyFill="1" applyBorder="1" applyAlignment="1">
      <x:alignment horizontal="center" vertical="center" wrapText="1"/>
    </x:xf>
    <x:xf numFmtId="0" fontId="5" fillId="0" borderId="58" xfId="0" applyNumberFormat="1" applyFont="1" applyFill="1" applyBorder="1" applyAlignment="1">
      <x:alignment horizontal="center" vertical="center" wrapText="1"/>
    </x:xf>
    <x:xf numFmtId="0" fontId="11" fillId="0" borderId="60" xfId="0" applyNumberFormat="1" applyFont="1" applyFill="1" applyBorder="1" applyAlignment="1">
      <x:alignment horizontal="center" vertical="center" wrapText="1"/>
    </x:xf>
    <x:xf numFmtId="0" fontId="11" fillId="0" borderId="61" xfId="0" applyNumberFormat="1" applyFont="1" applyFill="1" applyBorder="1" applyAlignment="1">
      <x:alignment horizontal="left" vertical="center" wrapText="1"/>
    </x:xf>
    <x:xf numFmtId="0" fontId="5" fillId="4" borderId="34" xfId="0" applyNumberFormat="1" applyFont="1" applyFill="1" applyBorder="1" applyAlignment="1">
      <x:alignment horizontal="left" vertical="center" wrapText="1"/>
    </x:xf>
    <x:xf numFmtId="0" fontId="11" fillId="0" borderId="62" xfId="0" applyNumberFormat="1" applyFont="1" applyFill="1" applyBorder="1" applyAlignment="1">
      <x:alignment horizontal="left" vertical="center" wrapText="1"/>
    </x:xf>
    <x:xf numFmtId="0" fontId="5" fillId="0" borderId="34" xfId="0" applyNumberFormat="1" applyFont="1" applyFill="1" applyBorder="1" applyAlignment="1">
      <x:alignment wrapText="1"/>
    </x:xf>
    <x:xf numFmtId="0" fontId="11" fillId="0" borderId="32" xfId="0" applyNumberFormat="1" applyFont="1" applyFill="1" applyBorder="1" applyAlignment="1">
      <x:alignment wrapText="1"/>
    </x:xf>
    <x:xf numFmtId="0" fontId="6" fillId="0" borderId="34" xfId="0" applyNumberFormat="1" applyFont="1" applyFill="1" applyBorder="1" applyAlignment="1">
      <x:alignment horizontal="center" vertical="center" wrapText="1"/>
    </x:xf>
    <x:xf numFmtId="0" fontId="5" fillId="0" borderId="63" xfId="0" applyNumberFormat="1" applyFont="1" applyFill="1" applyBorder="1" applyAlignment="1">
      <x:alignment vertical="center" wrapText="1"/>
    </x:xf>
    <x:xf numFmtId="0" fontId="0" fillId="8" borderId="0" xfId="0" applyNumberFormat="1" applyFont="1" applyFill="1" applyBorder="1"/>
    <x:xf numFmtId="0" fontId="14" fillId="8" borderId="0" xfId="0" applyNumberFormat="1" applyFont="1" applyFill="1" applyBorder="1"/>
    <x:xf numFmtId="0" fontId="14" fillId="8" borderId="0" xfId="0" applyNumberFormat="1" applyFont="1" applyFill="1" applyBorder="1" applyAlignment="1">
      <x:alignment horizontal="center"/>
    </x:xf>
    <x:xf numFmtId="0" fontId="14" fillId="8" borderId="0" xfId="0" applyNumberFormat="1" applyFont="1" applyFill="1" applyBorder="1" applyAlignment="1">
      <x:alignment horizontal="center" vertical="center"/>
    </x:xf>
    <x:xf numFmtId="0" fontId="0" fillId="8" borderId="32" xfId="0" applyNumberFormat="1" applyFont="1" applyFill="1" applyBorder="1"/>
    <x:xf numFmtId="0" fontId="14" fillId="8" borderId="32" xfId="0" applyNumberFormat="1" applyFont="1" applyFill="1" applyBorder="1"/>
    <x:xf numFmtId="0" fontId="14" fillId="8" borderId="32" xfId="0" applyNumberFormat="1" applyFont="1" applyFill="1" applyBorder="1" applyAlignment="1">
      <x:alignment horizontal="center"/>
    </x:xf>
    <x:xf numFmtId="0" fontId="14" fillId="8" borderId="32" xfId="0" applyNumberFormat="1" applyFont="1" applyFill="1" applyBorder="1" applyAlignment="1">
      <x:alignment horizontal="center" vertical="center"/>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32" xfId="0" applyNumberFormat="1" applyFont="1" applyFill="1" applyBorder="1"/>
    <x:xf numFmtId="0" fontId="15" fillId="9" borderId="32" xfId="0" applyNumberFormat="1" applyFont="1" applyFill="1" applyBorder="1"/>
    <x:xf numFmtId="0" fontId="15" fillId="9" borderId="32" xfId="0" applyNumberFormat="1" applyFont="1" applyFill="1" applyBorder="1" applyAlignment="1">
      <x:alignment wrapText="1"/>
    </x:xf>
    <x:xf numFmtId="0" fontId="15" fillId="9" borderId="32" xfId="0" applyNumberFormat="1" applyFont="1" applyFill="1" applyBorder="1" applyAlignment="1">
      <x:alignment horizontal="center" wrapText="1"/>
    </x:xf>
    <x:xf numFmtId="0" fontId="15" fillId="9" borderId="32" xfId="0" applyNumberFormat="1" applyFont="1" applyFill="1" applyBorder="1" applyAlignment="1">
      <x:alignment horizontal="center" vertical="center" wrapText="1"/>
    </x:xf>
    <x:xf numFmtId="0" fontId="0" fillId="10" borderId="0" xfId="0" applyNumberFormat="1" applyFont="1" applyFill="1" applyBorder="1"/>
    <x:xf numFmtId="0" fontId="16" fillId="10" borderId="0" xfId="0" applyNumberFormat="1" applyFont="1" applyFill="1" applyBorder="1"/>
    <x:xf numFmtId="0" fontId="16" fillId="10" borderId="0" xfId="0" applyNumberFormat="1" applyFont="1" applyFill="1" applyBorder="1" applyAlignment="1">
      <x:alignment wrapText="1"/>
    </x:xf>
    <x:xf numFmtId="0" fontId="16" fillId="10" borderId="0" xfId="0" applyNumberFormat="1" applyFont="1" applyFill="1" applyBorder="1" applyAlignment="1">
      <x:alignment horizontal="center" wrapText="1"/>
    </x:xf>
    <x:xf numFmtId="0" fontId="16" fillId="10" borderId="0" xfId="0" applyNumberFormat="1" applyFont="1" applyFill="1" applyBorder="1" applyAlignment="1">
      <x:alignment horizontal="center" vertical="center" wrapText="1"/>
    </x:xf>
    <x:xf numFmtId="0" fontId="0" fillId="10" borderId="32" xfId="0" applyNumberFormat="1" applyFont="1" applyFill="1" applyBorder="1"/>
    <x:xf numFmtId="0" fontId="16" fillId="10" borderId="32" xfId="0" applyNumberFormat="1" applyFont="1" applyFill="1" applyBorder="1"/>
    <x:xf numFmtId="0" fontId="16" fillId="10" borderId="32" xfId="0" applyNumberFormat="1" applyFont="1" applyFill="1" applyBorder="1" applyAlignment="1">
      <x:alignment wrapText="1"/>
    </x:xf>
    <x:xf numFmtId="0" fontId="16" fillId="10" borderId="32" xfId="0" applyNumberFormat="1" applyFont="1" applyFill="1" applyBorder="1" applyAlignment="1">
      <x:alignment horizontal="center" wrapText="1"/>
    </x:xf>
    <x:xf numFmtId="0" fontId="16" fillId="10" borderId="3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0" fillId="11" borderId="32" xfId="0" applyNumberFormat="1" applyFont="1" applyFill="1" applyBorder="1" applyAlignment="1">
      <x:alignment vertical="top" wrapText="1"/>
    </x:xf>
    <x:xf numFmtId="0" fontId="17" fillId="0" borderId="0" xfId="0" applyNumberFormat="1" applyFont="1" applyFill="1" applyBorder="1"/>
    <x:xf numFmtId="0" fontId="17" fillId="0" borderId="32" xfId="0" applyNumberFormat="1" applyFont="1" applyFill="1" applyBorder="1"/>
    <x:xf numFmtId="0" fontId="17" fillId="0" borderId="0" xfId="0" applyNumberFormat="1" applyFont="1" applyFill="1" applyBorder="1" applyAlignment="1">
      <x:alignment wrapText="1"/>
    </x:xf>
    <x:xf numFmtId="0" fontId="17" fillId="0" borderId="32" xfId="0" applyNumberFormat="1" applyFont="1" applyFill="1" applyBorder="1" applyAlignment="1">
      <x:alignment wrapText="1"/>
    </x:xf>
    <x:xf numFmtId="0" fontId="17" fillId="9" borderId="0" xfId="0" applyNumberFormat="1" applyFont="1" applyFill="1" applyBorder="1" applyAlignment="1">
      <x:alignment wrapText="1"/>
    </x:xf>
    <x:xf numFmtId="0" fontId="0" fillId="0" borderId="0" xfId="0" applyNumberFormat="1" applyFont="1" applyFill="1" applyBorder="1"/>
    <x:xf numFmtId="0" fontId="5" fillId="0" borderId="1" xfId="0" applyNumberFormat="1" applyFont="1" applyFill="1" applyBorder="1" applyAlignment="1">
      <x:alignment horizontal="center" vertical="center" wrapText="1"/>
    </x:xf>
    <x:xf numFmtId="0" fontId="6" fillId="0" borderId="1" xfId="0" applyNumberFormat="1" applyFont="1" applyFill="1" applyBorder="1" applyAlignment="1">
      <x:alignment horizontal="center" vertical="center" wrapText="1"/>
    </x:xf>
    <x:xf numFmtId="0" fontId="5" fillId="4" borderId="1" xfId="0" applyNumberFormat="1" applyFont="1" applyFill="1" applyBorder="1" applyAlignment="1">
      <x:alignment horizontal="center" vertical="center" wrapText="1"/>
    </x:xf>
    <x:xf numFmtId="0" fontId="6" fillId="4" borderId="1" xfId="0" applyNumberFormat="1" applyFont="1" applyFill="1" applyBorder="1" applyAlignment="1">
      <x:alignment horizontal="center" vertical="center" wrapText="1"/>
    </x:xf>
    <x:xf numFmtId="0" fontId="5" fillId="0" borderId="5" xfId="0" applyNumberFormat="1" applyFont="1" applyFill="1" applyBorder="1" applyAlignment="1">
      <x:alignment vertical="center" wrapText="1"/>
    </x:xf>
    <x:xf numFmtId="0" fontId="6" fillId="0" borderId="2" xfId="0" applyNumberFormat="1" applyFont="1" applyFill="1" applyBorder="1" applyAlignment="1">
      <x:alignment horizontal="center" vertical="center" wrapText="1"/>
    </x:xf>
    <x:xf numFmtId="0" fontId="6" fillId="0" borderId="1" xfId="0" applyNumberFormat="1" applyFont="1" applyFill="1" applyBorder="1" applyAlignment="1">
      <x:alignment horizontal="left" vertical="center" wrapText="1"/>
    </x:xf>
    <x:xf numFmtId="0" fontId="6" fillId="0" borderId="3" xfId="0" applyNumberFormat="1" applyFont="1" applyFill="1" applyBorder="1" applyAlignment="1">
      <x:alignment horizontal="center" vertical="center" wrapText="1"/>
    </x:xf>
    <x:xf numFmtId="0" fontId="5" fillId="0" borderId="1" xfId="0" applyNumberFormat="1" applyFont="1" applyFill="1" applyBorder="1" applyAlignment="1">
      <x:alignment horizontal="left" vertical="center" wrapText="1"/>
    </x:xf>
    <x:xf numFmtId="0" fontId="6" fillId="4" borderId="1" xfId="0" applyNumberFormat="1" applyFont="1" applyFill="1" applyBorder="1" applyAlignment="1">
      <x:alignment horizontal="left" vertical="center" wrapText="1"/>
    </x:xf>
    <x:xf numFmtId="0" fontId="6" fillId="0" borderId="11" xfId="0" applyNumberFormat="1" applyFont="1" applyFill="1" applyBorder="1" applyAlignment="1">
      <x:alignment horizontal="center" vertical="center" wrapText="1"/>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0" fontId="4" fillId="2" borderId="21" xfId="0" applyNumberFormat="1" applyFont="1" applyFill="1" applyBorder="1" applyAlignment="1">
      <x:alignment horizontal="center" vertical="center" wrapText="1"/>
    </x:xf>
    <x:xf numFmtId="164" fontId="5" fillId="0" borderId="0" xfId="0" applyNumberFormat="1" applyFont="1" applyFill="1" applyBorder="1" applyAlignment="1">
      <x:alignment horizontal="center" vertical="center" wrapText="1"/>
    </x:xf>
    <x:xf numFmtId="0" fontId="10" fillId="0" borderId="0" xfId="0" applyNumberFormat="1" applyFont="1" applyFill="1" applyBorder="1" applyAlignment="1">
      <x:alignment vertical="center" wrapText="1"/>
    </x:xf>
    <x:xf numFmtId="0" fontId="5" fillId="0" borderId="22" xfId="0" applyNumberFormat="1" applyFont="1" applyFill="1" applyBorder="1" applyAlignment="1">
      <x:alignment vertical="center" wrapText="1"/>
    </x:xf>
    <x:xf numFmtId="0" fontId="6" fillId="0" borderId="0" xfId="0" applyNumberFormat="1" applyFont="1" applyFill="1" applyBorder="1" applyAlignment="1">
      <x:alignment horizontal="center" vertical="center" wrapText="1"/>
    </x:xf>
    <x:xf numFmtId="0" fontId="5" fillId="0" borderId="22" xfId="0" applyNumberFormat="1" applyFont="1" applyFill="1" applyBorder="1" applyAlignment="1">
      <x:alignment wrapText="1"/>
    </x:xf>
    <x:xf numFmtId="0" fontId="5" fillId="0" borderId="0" xfId="0" applyNumberFormat="1" applyFont="1" applyFill="1" applyBorder="1" applyAlignment="1">
      <x:alignment horizontal="center" vertical="center" wrapText="1"/>
    </x:xf>
    <x:xf numFmtId="0" fontId="8" fillId="4" borderId="1" xfId="0" applyNumberFormat="1" applyFont="1" applyFill="1" applyBorder="1" applyAlignment="1">
      <x:alignment horizontal="left" vertical="center" wrapText="1"/>
    </x:xf>
    <x:xf numFmtId="0" fontId="5" fillId="4" borderId="2" xfId="0" applyNumberFormat="1" applyFont="1" applyFill="1" applyBorder="1" applyAlignment="1">
      <x:alignment horizontal="center" vertical="center" wrapText="1"/>
    </x:xf>
    <x:xf numFmtId="0" fontId="5" fillId="4" borderId="1" xfId="0" applyNumberFormat="1" applyFont="1" applyFill="1" applyBorder="1" applyAlignment="1">
      <x:alignment horizontal="left" vertical="center" wrapText="1"/>
    </x:xf>
    <x:xf numFmtId="0" fontId="5" fillId="4" borderId="2" xfId="0" applyNumberFormat="1" applyFont="1" applyFill="1" applyBorder="1" applyAlignment="1">
      <x:alignment horizontal="left" vertical="center" wrapText="1"/>
    </x:xf>
    <x:xf numFmtId="0" fontId="6" fillId="4" borderId="10" xfId="0" applyNumberFormat="1" applyFont="1" applyFill="1" applyBorder="1" applyAlignment="1">
      <x:alignment horizontal="left" vertical="center" wrapText="1"/>
    </x:xf>
    <x:xf numFmtId="0" fontId="5" fillId="0" borderId="0" xfId="0" applyNumberFormat="1" applyFont="1" applyFill="1" applyBorder="1" applyAlignment="1">
      <x:alignment horizontal="left" vertical="center" wrapText="1"/>
    </x:xf>
    <x:xf numFmtId="0" fontId="5" fillId="0" borderId="19" xfId="0" applyNumberFormat="1" applyFont="1" applyFill="1" applyBorder="1" applyAlignment="1">
      <x:alignment horizontal="center" vertical="center" wrapText="1"/>
    </x:xf>
    <x:xf numFmtId="0" fontId="9" fillId="0" borderId="20" xfId="0" applyNumberFormat="1" applyFont="1" applyFill="1" applyBorder="1" applyAlignment="1">
      <x:alignment horizontal="center" vertical="center" wrapText="1"/>
    </x:xf>
    <x:xf numFmtId="0" fontId="5" fillId="0" borderId="4" xfId="0" applyNumberFormat="1" applyFont="1" applyFill="1" applyBorder="1" applyAlignment="1">
      <x:alignment horizontal="center" vertical="center" wrapText="1"/>
    </x:xf>
    <x:xf numFmtId="0" fontId="5" fillId="4" borderId="0" xfId="0" applyNumberFormat="1" applyFont="1" applyFill="1" applyBorder="1" applyAlignment="1">
      <x:alignment horizontal="center" vertical="center" wrapText="1"/>
    </x:xf>
    <x:xf numFmtId="0" fontId="5" fillId="4" borderId="6" xfId="0" applyNumberFormat="1" applyFont="1" applyFill="1" applyBorder="1" applyAlignment="1">
      <x:alignment horizontal="center" vertical="center" wrapText="1"/>
    </x:xf>
    <x:xf numFmtId="0" fontId="5" fillId="4" borderId="6" xfId="0" applyNumberFormat="1" applyFont="1" applyFill="1" applyBorder="1" applyAlignment="1">
      <x:alignment horizontal="left" vertical="center" wrapText="1"/>
    </x:xf>
    <x:xf numFmtId="0" fontId="5" fillId="4" borderId="7" xfId="0" applyNumberFormat="1" applyFont="1" applyFill="1" applyBorder="1" applyAlignment="1">
      <x:alignment horizontal="center" vertical="center" wrapText="1"/>
    </x:xf>
    <x:xf numFmtId="0" fontId="5" fillId="4" borderId="9" xfId="0" applyNumberFormat="1" applyFont="1" applyFill="1" applyBorder="1" applyAlignment="1">
      <x:alignment horizontal="center" vertical="center" wrapText="1"/>
    </x:xf>
    <x:xf numFmtId="0" fontId="2" fillId="5" borderId="1"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wrapText="1"/>
    </x:xf>
    <x:xf numFmtId="0" fontId="4" fillId="7" borderId="1" xfId="0" applyNumberFormat="1" applyFont="1" applyFill="1" applyBorder="1" applyAlignment="1">
      <x:alignment horizontal="left" vertical="center" wrapText="1"/>
    </x:xf>
    <x:xf numFmtId="0" fontId="6" fillId="4" borderId="26" xfId="0" applyNumberFormat="1" applyFont="1" applyFill="1" applyBorder="1" applyAlignment="1">
      <x:alignment horizontal="left" vertical="center" wrapText="1"/>
    </x:xf>
    <x:xf numFmtId="0" fontId="6" fillId="4" borderId="27" xfId="0" applyNumberFormat="1" applyFont="1" applyFill="1" applyBorder="1" applyAlignment="1">
      <x:alignment horizontal="left" vertical="center" wrapText="1"/>
    </x:xf>
    <x:xf numFmtId="0" fontId="8" fillId="4" borderId="27" xfId="0" applyNumberFormat="1" applyFont="1" applyFill="1" applyBorder="1" applyAlignment="1">
      <x:alignment horizontal="left" vertical="center" wrapText="1"/>
    </x:xf>
    <x:xf numFmtId="0" fontId="12" fillId="4" borderId="1" xfId="0" applyNumberFormat="1" applyFont="1" applyFill="1" applyBorder="1" applyAlignment="1">
      <x:alignment horizontal="left" vertical="center" wrapText="1"/>
    </x:xf>
    <x:xf numFmtId="0" fontId="12" fillId="4" borderId="1"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3" fillId="0" borderId="0" xfId="0" applyNumberFormat="1" applyFont="1" applyFill="1" applyBorder="1" applyAlignment="1">
      <x:alignment horizontal="left" vertical="center" wrapText="1"/>
    </x:xf>
    <x:xf numFmtId="0" fontId="6" fillId="0" borderId="4" xfId="0" applyNumberFormat="1" applyFont="1" applyFill="1" applyBorder="1" applyAlignment="1">
      <x:alignment horizontal="center" vertical="center" wrapText="1"/>
    </x:xf>
    <x:xf numFmtId="0" fontId="5" fillId="0" borderId="28" xfId="0" applyNumberFormat="1" applyFont="1" applyFill="1" applyBorder="1" applyAlignment="1">
      <x:alignment horizontal="center" vertical="center" wrapText="1"/>
    </x:xf>
    <x:xf numFmtId="0" fontId="11" fillId="0" borderId="29" xfId="0" applyNumberFormat="1" applyFont="1" applyFill="1" applyBorder="1" applyAlignment="1">
      <x:alignment horizontal="center" vertical="center" wrapText="1"/>
    </x:xf>
    <x:xf numFmtId="0" fontId="5" fillId="0" borderId="30" xfId="0" applyNumberFormat="1" applyFont="1" applyFill="1" applyBorder="1" applyAlignment="1">
      <x:alignment horizontal="center" vertical="center" wrapText="1"/>
    </x:xf>
    <x:xf numFmtId="0" fontId="11" fillId="0" borderId="31" xfId="0" applyNumberFormat="1" applyFont="1" applyFill="1" applyBorder="1" applyAlignment="1">
      <x:alignment horizontal="center" vertical="center" wrapText="1"/>
    </x:xf>
    <x:xf numFmtId="0" fontId="5" fillId="0" borderId="31" xfId="0" applyNumberFormat="1" applyFont="1" applyFill="1" applyBorder="1" applyAlignment="1">
      <x:alignment horizontal="center" vertical="center" wrapText="1"/>
    </x:xf>
    <x:xf numFmtId="0" fontId="6" fillId="4" borderId="2" xfId="0" applyNumberFormat="1" applyFont="1" applyFill="1" applyBorder="1" applyAlignment="1">
      <x:alignment horizontal="center" vertical="center" wrapText="1"/>
    </x:xf>
    <x:xf numFmtId="0" fontId="11" fillId="0" borderId="4" xfId="0" applyNumberFormat="1" applyFont="1" applyFill="1" applyBorder="1" applyAlignment="1">
      <x:alignment horizontal="center" vertical="center" wrapText="1"/>
    </x:xf>
    <x:xf numFmtId="0" fontId="11" fillId="0" borderId="3" xfId="0" applyNumberFormat="1" applyFont="1" applyFill="1" applyBorder="1" applyAlignment="1">
      <x:alignment horizontal="center" vertical="center" wrapText="1"/>
    </x:xf>
    <x:xf numFmtId="0" fontId="6" fillId="4" borderId="2" xfId="0" applyNumberFormat="1" applyFont="1" applyFill="1" applyBorder="1" applyAlignment="1">
      <x:alignment horizontal="left" vertical="center" wrapText="1"/>
    </x:xf>
    <x:xf numFmtId="0" fontId="11" fillId="0" borderId="4" xfId="0" applyNumberFormat="1" applyFont="1" applyFill="1" applyBorder="1" applyAlignment="1">
      <x:alignment horizontal="left" vertical="center" wrapText="1"/>
    </x:xf>
    <x:xf numFmtId="0" fontId="11" fillId="0" borderId="3" xfId="0" applyNumberFormat="1" applyFont="1" applyFill="1" applyBorder="1" applyAlignment="1">
      <x:alignment horizontal="left" vertical="center" wrapText="1"/>
    </x:xf>
    <x:xf numFmtId="0" fontId="5" fillId="0" borderId="3" xfId="0" applyNumberFormat="1" applyFont="1" applyFill="1" applyBorder="1" applyAlignment="1">
      <x:alignment horizontal="center" vertical="center" wrapText="1"/>
    </x:xf>
    <x:xf numFmtId="0" fontId="2" fillId="4" borderId="0" xfId="0" applyNumberFormat="1" applyFont="1" applyFill="1" applyBorder="1" applyAlignment="1">
      <x:alignment horizontal="center" vertical="center" wrapText="1"/>
    </x:xf>
    <x:xf numFmtId="0" fontId="6" fillId="0" borderId="21" xfId="0" applyNumberFormat="1" applyFont="1" applyFill="1" applyBorder="1" applyAlignment="1">
      <x:alignment horizontal="center" vertical="center" wrapText="1"/>
    </x:xf>
    <x:xf numFmtId="0" fontId="5" fillId="0" borderId="1"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1" xfId="0" applyNumberFormat="1" applyFont="1" applyFill="1" applyBorder="1" applyAlignment="1">
      <x:alignment horizontal="left" vertical="center" wrapText="1"/>
    </x:xf>
    <x:xf numFmtId="0" fontId="5" fillId="4" borderId="4" xfId="0" applyNumberFormat="1" applyFont="1" applyFill="1" applyBorder="1" applyAlignment="1">
      <x:alignment horizontal="center" vertical="center" wrapText="1"/>
    </x:xf>
    <x:xf numFmtId="0" fontId="9" fillId="0" borderId="18" xfId="0" applyNumberFormat="1" applyFont="1" applyFill="1" applyBorder="1" applyAlignment="1">
      <x:alignment horizontal="center" vertical="center" wrapText="1"/>
    </x:xf>
    <x:xf numFmtId="0" fontId="9" fillId="0" borderId="19" xfId="0" applyNumberFormat="1" applyFont="1" applyFill="1" applyBorder="1" applyAlignment="1">
      <x:alignment horizontal="center" vertical="center" wrapText="1"/>
    </x:xf>
    <x:xf numFmtId="0" fontId="2" fillId="4" borderId="1" xfId="0" applyNumberFormat="1" applyFont="1" applyFill="1" applyBorder="1" applyAlignment="1">
      <x:alignment horizontal="left" vertical="center" wrapText="1"/>
    </x:xf>
    <x:xf numFmtId="0" fontId="11" fillId="4" borderId="3" xfId="0" applyNumberFormat="1" applyFont="1" applyFill="1" applyBorder="1" applyAlignment="1">
      <x:alignment horizontal="left" vertical="center" wrapText="1"/>
    </x:xf>
    <x:xf numFmtId="0" fontId="5" fillId="4" borderId="8" xfId="0" applyNumberFormat="1" applyFont="1" applyFill="1" applyBorder="1" applyAlignment="1">
      <x:alignment horizontal="left" vertical="center" wrapText="1"/>
    </x:xf>
    <x:xf numFmtId="0" fontId="11" fillId="0" borderId="7" xfId="0" applyNumberFormat="1" applyFont="1" applyFill="1" applyBorder="1" applyAlignment="1">
      <x:alignment horizontal="left" vertical="center" wrapText="1"/>
    </x:xf>
    <x:xf numFmtId="0" fontId="11" fillId="0" borderId="9" xfId="0" applyNumberFormat="1" applyFont="1" applyFill="1" applyBorder="1" applyAlignment="1">
      <x:alignment horizontal="left" vertical="center" wrapText="1"/>
    </x:xf>
    <x:xf numFmtId="0" fontId="5" fillId="4" borderId="8"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wrapText="1"/>
    </x:xf>
    <x:xf numFmtId="0" fontId="11" fillId="0" borderId="9" xfId="0" applyNumberFormat="1" applyFont="1" applyFill="1" applyBorder="1" applyAlignment="1">
      <x:alignment horizontal="center" vertical="center" wrapText="1"/>
    </x:xf>
    <x:xf numFmtId="0" fontId="11" fillId="4" borderId="4" xfId="0" applyNumberFormat="1" applyFont="1" applyFill="1" applyBorder="1" applyAlignment="1">
      <x:alignment horizontal="center" vertical="center" wrapText="1"/>
    </x:xf>
    <x:xf numFmtId="0" fontId="11" fillId="4" borderId="3" xfId="0" applyNumberFormat="1" applyFont="1" applyFill="1" applyBorder="1" applyAlignment="1">
      <x:alignment horizontal="center" vertical="center" wrapText="1"/>
    </x:xf>
    <x:xf numFmtId="0" fontId="11" fillId="0" borderId="0" xfId="0" applyNumberFormat="1" applyFont="1" applyFill="1" applyBorder="1" applyAlignment="1">
      <x:alignment horizontal="center" vertical="center" wrapText="1"/>
    </x:xf>
    <x:xf numFmtId="0" fontId="5" fillId="0" borderId="2" xfId="0" applyNumberFormat="1" applyFont="1" applyFill="1" applyBorder="1" applyAlignment="1">
      <x:alignment horizontal="left" vertical="center" wrapText="1"/>
    </x:xf>
    <x:xf numFmtId="0" fontId="5" fillId="0" borderId="4" xfId="0" applyNumberFormat="1" applyFont="1" applyFill="1" applyBorder="1" applyAlignment="1">
      <x:alignment horizontal="left" vertical="center" wrapText="1"/>
    </x:xf>
    <x:xf numFmtId="0" fontId="5" fillId="0" borderId="3" xfId="0" applyNumberFormat="1" applyFont="1" applyFill="1" applyBorder="1" applyAlignment="1">
      <x:alignment horizontal="left" vertical="center" wrapText="1"/>
    </x:xf>
    <x:xf numFmtId="0" fontId="6" fillId="0" borderId="2" xfId="0" applyNumberFormat="1" applyFont="1" applyFill="1" applyBorder="1" applyAlignment="1">
      <x:alignment horizontal="left" vertical="center" wrapText="1"/>
    </x:xf>
    <x:xf numFmtId="0" fontId="6" fillId="0" borderId="13" xfId="0" applyNumberFormat="1" applyFont="1" applyFill="1" applyBorder="1" applyAlignment="1">
      <x:alignment horizontal="center" vertical="center" wrapText="1"/>
    </x:xf>
    <x:xf numFmtId="0" fontId="5" fillId="0" borderId="14" xfId="0" applyNumberFormat="1" applyFont="1" applyFill="1" applyBorder="1" applyAlignment="1">
      <x:alignment horizontal="center" vertical="center" wrapText="1"/>
    </x:xf>
    <x:xf numFmtId="0" fontId="5" fillId="0" borderId="15"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left" vertical="center" wrapText="1"/>
    </x:xf>
    <x:xf numFmtId="0" fontId="5" fillId="4" borderId="3" xfId="0" applyNumberFormat="1" applyFont="1" applyFill="1" applyBorder="1" applyAlignment="1">
      <x:alignment horizontal="left" vertical="center" wrapText="1"/>
    </x:xf>
    <x:xf numFmtId="0" fontId="5" fillId="4" borderId="16" xfId="0" applyNumberFormat="1" applyFont="1" applyFill="1" applyBorder="1" applyAlignment="1">
      <x:alignment horizontal="center" vertical="center" wrapText="1"/>
    </x:xf>
    <x:xf numFmtId="0" fontId="11" fillId="0" borderId="17" xfId="0" applyNumberFormat="1" applyFont="1" applyFill="1" applyBorder="1" applyAlignment="1">
      <x:alignment horizontal="center" vertical="center" wrapText="1"/>
    </x:xf>
    <x:xf numFmtId="0" fontId="5" fillId="0" borderId="16" xfId="0" applyNumberFormat="1" applyFont="1" applyFill="1" applyBorder="1" applyAlignment="1">
      <x:alignment horizontal="center" vertical="center" wrapText="1"/>
    </x:xf>
    <x:xf numFmtId="0" fontId="11" fillId="0" borderId="23" xfId="0" applyNumberFormat="1" applyFont="1" applyFill="1" applyBorder="1" applyAlignment="1">
      <x:alignment horizontal="center" vertical="center" wrapText="1"/>
    </x:xf>
    <x:xf numFmtId="0" fontId="11" fillId="0" borderId="24" xfId="0" applyNumberFormat="1" applyFont="1" applyFill="1" applyBorder="1" applyAlignment="1">
      <x:alignment horizontal="left" vertical="center" wrapText="1"/>
    </x:xf>
    <x:xf numFmtId="0" fontId="5" fillId="4" borderId="5" xfId="0" applyNumberFormat="1" applyFont="1" applyFill="1" applyBorder="1" applyAlignment="1">
      <x:alignment horizontal="left" vertical="center" wrapText="1"/>
    </x:xf>
    <x:xf numFmtId="0" fontId="11" fillId="0" borderId="25" xfId="0" applyNumberFormat="1" applyFont="1" applyFill="1" applyBorder="1" applyAlignment="1">
      <x:alignment horizontal="left" vertical="center" wrapText="1"/>
    </x:xf>
    <x:xf numFmtId="0" fontId="5" fillId="0" borderId="5" xfId="0" applyNumberFormat="1" applyFont="1" applyFill="1" applyBorder="1" applyAlignment="1">
      <x:alignment wrapText="1"/>
    </x:xf>
    <x:xf numFmtId="0" fontId="11" fillId="0" borderId="0" xfId="0" applyNumberFormat="1" applyFont="1" applyFill="1" applyBorder="1" applyAlignment="1">
      <x:alignment wrapText="1"/>
    </x:xf>
    <x:xf numFmtId="0" fontId="6" fillId="0" borderId="5" xfId="0" applyNumberFormat="1" applyFont="1" applyFill="1" applyBorder="1" applyAlignment="1">
      <x:alignment horizontal="center" vertical="center" wrapText="1"/>
    </x:xf>
    <x:xf numFmtId="0" fontId="5" fillId="0" borderId="12" xfId="0" applyNumberFormat="1" applyFont="1" applyFill="1" applyBorder="1" applyAlignment="1">
      <x:alignment vertical="center" wrapText="1"/>
    </x:xf>
    <x:xf numFmtId="0" fontId="0" fillId="12" borderId="0" xfId="0" applyNumberFormat="1" applyFont="1" applyFill="1" applyBorder="1"/>
    <x:xf numFmtId="0" fontId="18" fillId="12" borderId="0" xfId="0" applyNumberFormat="1" applyFont="1" applyFill="1" applyBorder="1"/>
    <x:xf numFmtId="0" fontId="18" fillId="12" borderId="0" xfId="0" applyNumberFormat="1" applyFont="1" applyFill="1" applyBorder="1" applyAlignment="1">
      <x:alignment horizontal="left"/>
    </x:xf>
    <x:xf numFmtId="0" fontId="18" fillId="12" borderId="0" xfId="0" applyNumberFormat="1" applyFont="1" applyFill="1" applyBorder="1" applyAlignment="1">
      <x:alignment horizontal="left" vertical="center"/>
    </x:xf>
    <x:xf numFmtId="0" fontId="0" fillId="0" borderId="0" xfId="0" applyNumberFormat="1" applyFont="1" applyFill="1" applyBorder="1" applyAlignment="1">
      <x:alignment vertical="center" wrapText="1"/>
    </x:xf>
    <x:xf numFmtId="0" fontId="0" fillId="13" borderId="0" xfId="0" applyNumberFormat="1" applyFont="1" applyFill="1" applyBorder="1" applyAlignment="1">
      <x:alignment vertical="center" wrapText="1"/>
    </x:xf>
    <x:xf numFmtId="0" fontId="19" fillId="13" borderId="0" xfId="0" applyNumberFormat="1" applyFont="1" applyFill="1" applyBorder="1" applyAlignment="1">
      <x:alignment vertical="center" wrapText="1"/>
    </x:xf>
    <x:xf numFmtId="0" fontId="19" fillId="13" borderId="0" xfId="0" applyNumberFormat="1" applyFont="1" applyFill="1" applyBorder="1" applyAlignment="1">
      <x:alignment horizontal="center" vertical="center" wrapText="1"/>
    </x:xf>
    <x:xf numFmtId="0" fontId="19" fillId="13" borderId="64" xfId="0" applyNumberFormat="1" applyFont="1" applyFill="1" applyBorder="1" applyAlignment="1">
      <x:alignment horizontal="center" vertical="center" wrapText="1"/>
    </x:xf>
    <x:xf numFmtId="0" fontId="19" fillId="13" borderId="65" xfId="0" applyNumberFormat="1" applyFont="1" applyFill="1" applyBorder="1" applyAlignment="1">
      <x:alignment horizontal="center" vertical="center" wrapText="1"/>
    </x:xf>
    <x:xf numFmtId="0" fontId="19" fillId="13" borderId="66" xfId="0" applyNumberFormat="1" applyFont="1" applyFill="1" applyBorder="1" applyAlignment="1">
      <x:alignment horizontal="center" vertical="center" wrapText="1"/>
    </x:xf>
    <x:xf numFmtId="0" fontId="0" fillId="0" borderId="67" xfId="0" applyNumberFormat="1" applyFont="1" applyFill="1" applyBorder="1" applyAlignment="1">
      <x:alignment vertical="center" wrapText="1"/>
    </x:xf>
    <x:xf numFmtId="0" fontId="0" fillId="0" xfId="0" applyNumberFormat="1" applyFont="1" applyFill="1" applyBorder="0" applyAlignment="1">
      <x:alignment vertical="center" wrapText="1"/>
    </x:xf>
    <x:xf numFmtId="0" fontId="0" fillId="0" borderId="68" xfId="0" applyNumberFormat="1" applyFont="1" applyFill="1" applyBorder="1" applyAlignment="1">
      <x:alignment vertical="center" wrapText="1"/>
    </x:xf>
    <x:xf numFmtId="0" fontId="0" fillId="0" borderId="69" xfId="0" applyNumberFormat="1" applyFont="1" applyFill="1" applyBorder="1" applyAlignment="1">
      <x:alignment vertical="center" wrapText="1"/>
    </x:xf>
    <x:xf numFmtId="0" fontId="0" fillId="0" borderId="70" xfId="0" applyNumberFormat="1" applyFont="1" applyFill="1" applyBorder="1" applyAlignment="1">
      <x:alignment vertical="center" wrapText="1"/>
    </x:xf>
    <x:xf numFmtId="0" fontId="0" fillId="0" borderId="71" xfId="0" applyNumberFormat="1" applyFont="1" applyFill="1" applyBorder="1" applyAlignment="1">
      <x:alignment vertical="center" wrapText="1"/>
    </x:xf>
    <x:xf numFmtId="0" fontId="19" fillId="13" borderId="67" xfId="0" applyNumberFormat="1" applyFont="1" applyFill="1" applyBorder="1" applyAlignment="1">
      <x:alignment horizontal="center" vertical="center" wrapText="1"/>
    </x:xf>
    <x:xf numFmtId="0" fontId="19" fillId="13" xfId="0" applyNumberFormat="1" applyFont="1" applyFill="1" applyBorder="0" applyAlignment="1">
      <x:alignment horizontal="center" vertical="center" wrapText="1"/>
    </x:xf>
    <x:xf numFmtId="0" fontId="19" fillId="13" borderId="68" xfId="0" applyNumberFormat="1" applyFont="1" applyFill="1" applyBorder="1" applyAlignment="1">
      <x:alignment horizontal="center" vertical="center" wrapText="1"/>
    </x:xf>
    <x:xf numFmtId="0" fontId="0" fillId="14" borderId="0" xfId="0" applyNumberFormat="1" applyFont="1" applyFill="1" applyBorder="1"/>
    <x:xf numFmtId="0" fontId="20" fillId="14" borderId="0" xfId="0" applyNumberFormat="1" applyFont="1" applyFill="1" applyBorder="1"/>
    <x:xf numFmtId="0" fontId="20" fillId="14" borderId="0" xfId="0" applyNumberFormat="1" applyFont="1" applyFill="1" applyBorder="1" applyAlignment="1">
      <x:alignment wrapText="1"/>
    </x:xf>
  </x:cellXfs>
  <x:cellStyles count="2">
    <x:cellStyle name="Hyperlink" xfId="1"/>
    <x:cellStyle name="Normal" xfId="0"/>
  </x:cellStyles>
  <x:dxfs count="8">
    <x:dxf>
      <x:font>
        <x:b/>
      </x:font>
      <x:fill>
        <x:patternFill patternType="solid">
          <x:bgColor rgb="FFF4CCCC"/>
        </x:patternFill>
      </x:fill>
    </x:dxf>
    <x:dxf>
      <x:font>
        <x:b/>
      </x:font>
      <x:fill>
        <x:patternFill patternType="solid">
          <x:bgColor rgb="FFF4CCCC"/>
        </x:patternFill>
      </x:fill>
    </x:dxf>
    <x:dxf>
      <x:font>
        <x:b/>
      </x:font>
      <x:fill>
        <x:patternFill patternType="solid">
          <x:bgColor rgb="FFF4CCCC"/>
        </x:patternFill>
      </x:fill>
    </x:dxf>
    <x:dxf>
      <x:fill>
        <x:patternFill patternType="solid">
          <x:bgColor rgb="FFFFF2CC"/>
        </x:patternFill>
      </x:fill>
    </x:dxf>
    <x:dxf>
      <x:fill>
        <x:patternFill patternType="solid">
          <x:bgColor rgb="FFD9EAD3"/>
        </x:patternFill>
      </x:fill>
    </x:dxf>
    <x:dxf>
      <x:font>
        <x:b/>
      </x:font>
      <x:fill>
        <x:patternFill patternType="solid">
          <x:bgColor rgb="FFF4CCCC"/>
        </x:patternFill>
      </x:fill>
    </x:dxf>
    <x:dxf>
      <x:fill>
        <x:patternFill patternType="solid">
          <x:bgColor rgb="FFFFF2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bc45febd5d4815" /><Relationship Type="http://schemas.openxmlformats.org/officeDocument/2006/relationships/theme" Target="/xl/theme/theme1.xml" Id="Rcf988294dce24d3f" /><Relationship Type="http://schemas.openxmlformats.org/officeDocument/2006/relationships/sharedStrings" Target="/xl/sharedStrings.xml" Id="Rbdeeeebd6fad49e3" /><Relationship Type="http://schemas.openxmlformats.org/officeDocument/2006/relationships/worksheet" Target="/xl/worksheets/sheet1.xml" Id="R25e872d3338041a1" /><Relationship Type="http://schemas.openxmlformats.org/officeDocument/2006/relationships/worksheet" Target="/xl/worksheets/sheet2.xml" Id="R636cc9f504974b97" /><Relationship Type="http://schemas.openxmlformats.org/officeDocument/2006/relationships/worksheet" Target="/xl/worksheets/sheet3.xml" Id="Rc4ec5b020db247ed" /><Relationship Type="http://schemas.openxmlformats.org/officeDocument/2006/relationships/worksheet" Target="/xl/worksheets/sheet4.xml" Id="R819e0077011c4538" /><Relationship Type="http://schemas.microsoft.com/office/2017/10/relationships/person" Target="/xl/persons/person.xml" Id="R0b613b4a75624b68" /></Relationships>
</file>

<file path=xl/persons/person.xml><?xml version="1.0" encoding="utf-8"?>
<xltc:personList xmlns:xltc="http://schemas.microsoft.com/office/spreadsheetml/2018/threadedcomments">
  <xltc:person displayName="wenjia chu" id="{69A7D27D-A18F-439C-A0C4-74E9381A68F1}"/>
  <xltc:person displayName="Qianyu Huang" id="{C841D87F-8C0F-374A-8CA2-5BF19DAEEDF7}"/>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worldbank.org/en/publication/worldwide-governance-indicators/interactive-data-access" TargetMode="External" Id="Re27f78ef8c90401d" /><Relationship Type="http://schemas.openxmlformats.org/officeDocument/2006/relationships/hyperlink" Target="https://data.worldbank.org.cn/indicator/LP.LPI.INFR.XQ" TargetMode="External" Id="Rd0837b9bf17b4360" /><Relationship Type="http://schemas.openxmlformats.org/officeDocument/2006/relationships/hyperlink" Target="https://ghsindex.org/global/" TargetMode="External" Id="R10bd0ba5826748a9" /></Relationships>
</file>

<file path=xl/worksheets/sheet1.xml><?xml version="1.0" encoding="utf-8"?>
<x:worksheet xmlns:x="http://schemas.openxmlformats.org/spreadsheetml/2006/main">
  <x:sheetFormatPr baseColWidth="10" defaultColWidth="8.83203125" defaultRowHeight="16"/>
  <x:cols>
    <x:col min="1" max="1" width="22" style="19" hidden="0" customWidth="1"/>
    <x:col min="2" max="2" width="100" style="13" hidden="0" customWidth="1"/>
    <x:col min="3" max="3" width="26" style="13" hidden="1" customWidth="1"/>
    <x:col min="4" max="4" width="11" style="20" customWidth="1"/>
    <x:col min="5" max="5" width="22" style="20" hidden="1" customWidth="1"/>
    <x:col min="6" max="6" width="15.83203125" style="20" customWidth="1"/>
    <x:col min="7" max="7" width="26.5" style="26" customWidth="1"/>
    <x:col min="8" max="8" width="8" style="20" customWidth="1"/>
    <x:col min="9" max="9" width="16" style="20" customWidth="1"/>
    <x:col min="10" max="10" width="29.6640625" style="26" customWidth="1"/>
    <x:col min="11" max="11" width="10" style="13" customWidth="1"/>
    <x:col min="12" max="12" width="10.83203125" style="20" customWidth="1"/>
    <x:col min="13" max="13" width="36" style="20" customWidth="1"/>
    <x:col min="14" max="14" width="29.5" style="26" customWidth="1"/>
    <x:col min="15" max="15" width="85.1640625" style="26" customWidth="1"/>
    <x:col min="16" max="16" width="30.5" style="26" customWidth="1"/>
    <x:col min="17" max="17" width="12.33203125" style="26" customWidth="1"/>
    <x:col min="18" max="18" width="10" style="26" customWidth="1"/>
    <x:col min="19" max="20" width="22.6640625" style="26" customWidth="1"/>
    <x:col min="21" max="21" width="28.83203125" style="26" customWidth="1"/>
    <x:col min="22" max="22" width="20.6640625" style="13" hidden="1" customWidth="1"/>
    <x:col min="23" max="23" width="0" style="13" hidden="1" customWidth="1"/>
    <x:col min="24" max="16384" width="8.83203125" style="13" customWidth="0"/>
    <x:col min="24" max="24" width="19" hidden="0" customWidth="1"/>
    <x:col min="25" max="25" width="32" hidden="0" customWidth="1"/>
    <x:col min="26" max="26" width="30" hidden="0" customWidth="1"/>
    <x:col min="27" max="27" width="38" hidden="0" customWidth="1"/>
    <x:col min="28" max="28" width="34" hidden="0" customWidth="1"/>
    <x:col min="29" max="29" width="38" hidden="0" customWidth="1"/>
    <x:col min="30" max="30" width="29" hidden="0" customWidth="1"/>
    <x:col min="31" max="31" width="30" hidden="0" customWidth="1"/>
    <x:col min="32" max="32" width="42" hidden="0" customWidth="1"/>
    <x:col min="33" max="33" width="34" hidden="0" customWidth="1"/>
    <x:col min="34" max="34" width="34" hidden="0" customWidth="1"/>
  </x:cols>
  <x:sheetData>
    <x:row r="1" s="27" customFormat="1" ht="26" customHeight="1">
      <x:c r="A1" s="81" t="s">
        <x:v>0</x:v>
      </x:c>
      <x:c r="B1" s="82"/>
      <x:c r="C1" s="82"/>
      <x:c r="D1" s="82"/>
      <x:c r="E1" s="82"/>
      <x:c r="F1" s="82"/>
      <x:c r="G1" s="82"/>
      <x:c r="H1" s="82"/>
      <x:c r="I1" s="82"/>
      <x:c r="J1" s="82"/>
      <x:c r="K1" s="82"/>
      <x:c r="L1" s="82"/>
      <x:c r="M1" s="82"/>
      <x:c r="N1" s="82"/>
      <x:c r="O1" s="82"/>
      <x:c r="P1" s="82"/>
      <x:c r="Q1" s="82"/>
      <x:c r="R1" s="82"/>
      <x:c r="S1" s="82"/>
      <x:c r="T1" s="82"/>
      <x:c r="U1" s="82"/>
      <x:c r="X1" s="230" t="str">
        <x:v>V2.0 风险预测模型设计（Likelihood × Impact）</x:v>
      </x:c>
      <x:c r="Y1" s="230"/>
      <x:c r="Z1" s="230"/>
      <x:c r="AA1" s="230"/>
      <x:c r="AB1" s="230"/>
      <x:c r="AC1" s="230"/>
      <x:c r="AD1" s="230"/>
      <x:c r="AE1" s="230"/>
      <x:c r="AF1" s="230"/>
      <x:c r="AG1" s="230"/>
      <x:c r="AH1" s="230"/>
    </x:row>
    <x:row r="2" s="20" customFormat="1" ht="36" customHeight="1">
      <x:c r="A2" s="28"/>
      <x:c r="B2" s="69" t="s">
        <x:v>1</x:v>
      </x:c>
      <x:c r="C2" s="70" t="s">
        <x:v>2</x:v>
      </x:c>
      <x:c r="D2" s="69" t="s">
        <x:v>3</x:v>
      </x:c>
      <x:c r="E2" s="70" t="s">
        <x:v>4</x:v>
      </x:c>
      <x:c r="F2" s="69" t="s">
        <x:v>5</x:v>
      </x:c>
      <x:c r="G2" s="70" t="s">
        <x:v>6</x:v>
      </x:c>
      <x:c r="H2" s="70" t="s">
        <x:v>7</x:v>
      </x:c>
      <x:c r="I2" s="70" t="s">
        <x:v>8</x:v>
      </x:c>
      <x:c r="J2" s="70" t="s">
        <x:v>9</x:v>
      </x:c>
      <x:c r="K2" s="68" t="s">
        <x:v>10</x:v>
      </x:c>
      <x:c r="L2" s="69" t="s">
        <x:v>11</x:v>
      </x:c>
      <x:c r="M2" s="70" t="s">
        <x:v>12</x:v>
      </x:c>
      <x:c r="N2" s="72" t="s">
        <x:v>13</x:v>
      </x:c>
      <x:c r="O2" s="72" t="s">
        <x:v>14</x:v>
      </x:c>
      <x:c r="P2" s="72" t="s">
        <x:v>15</x:v>
      </x:c>
      <x:c r="Q2" s="72" t="s">
        <x:v>16</x:v>
      </x:c>
      <x:c r="R2" s="72" t="s">
        <x:v>17</x:v>
      </x:c>
      <x:c r="S2" s="83" t="s">
        <x:v>18</x:v>
      </x:c>
      <x:c r="T2" s="83"/>
      <x:c r="U2" s="83"/>
      <x:c r="V2" s="63" t="s">
        <x:v>19</x:v>
      </x:c>
      <x:c r="W2" s="63" t="s">
        <x:v>10</x:v>
      </x:c>
      <x:c r="X2" s="239" t="str">
        <x:v>现有指标角色（V2.0）</x:v>
      </x:c>
      <x:c r="Y2" s="239" t="str">
        <x:v>指标调整/归属建议</x:v>
      </x:c>
      <x:c r="Z2" s="239" t="str">
        <x:v>建议新增Trend指标</x:v>
      </x:c>
      <x:c r="AA2" s="239" t="str">
        <x:v>Trend计算/判断方法</x:v>
      </x:c>
      <x:c r="AB2" s="239" t="str">
        <x:v>建议新增Event指标</x:v>
      </x:c>
      <x:c r="AC2" s="239" t="str">
        <x:v>Event计算/判断方法</x:v>
      </x:c>
      <x:c r="AD2" s="239" t="str">
        <x:v>Likelihood建议公式</x:v>
      </x:c>
      <x:c r="AE2" s="239" t="str">
        <x:v>Impact核心指标</x:v>
      </x:c>
      <x:c r="AF2" s="239" t="str">
        <x:v>Impact计算公式/评分思路</x:v>
      </x:c>
      <x:c r="AG2" s="239" t="str">
        <x:v>红线/特殊规则</x:v>
      </x:c>
      <x:c r="AH2" s="239" t="str">
        <x:v>调整说明</x:v>
      </x:c>
    </x:row>
    <x:row r="3" s="20" customFormat="1" ht="44" customHeight="1">
      <x:c r="A3" s="14" t="s">
        <x:v>20</x:v>
      </x:c>
      <x:c r="B3" s="69"/>
      <x:c r="C3" s="71"/>
      <x:c r="D3" s="69"/>
      <x:c r="E3" s="71"/>
      <x:c r="F3" s="69"/>
      <x:c r="G3" s="71"/>
      <x:c r="H3" s="71"/>
      <x:c r="I3" s="71"/>
      <x:c r="J3" s="71"/>
      <x:c r="K3" s="68"/>
      <x:c r="L3" s="69"/>
      <x:c r="M3" s="71"/>
      <x:c r="N3" s="72"/>
      <x:c r="O3" s="72"/>
      <x:c r="P3" s="72"/>
      <x:c r="Q3" s="72"/>
      <x:c r="R3" s="72"/>
      <x:c r="S3" s="35" t="s">
        <x:v>21</x:v>
      </x:c>
      <x:c r="T3" s="36" t="s">
        <x:v>22</x:v>
      </x:c>
      <x:c r="U3" s="37" t="s">
        <x:v>23</x:v>
      </x:c>
      <x:c r="V3" s="63"/>
      <x:c r="W3" s="63"/>
      <x:c r="X3" s="249" t="str">
        <x:v>Level / Trend / Event / History / Exposure</x:v>
      </x:c>
      <x:c r="Y3" s="249" t="str">
        <x:v>仅在需替换、拆分或调整归属时填写</x:v>
      </x:c>
      <x:c r="Z3" s="249" t="str">
        <x:v>观察风险是否持续恶化/改善</x:v>
      </x:c>
      <x:c r="AA3" s="249" t="str">
        <x:v>原则上采用2–3年或滚动12个月趋势</x:v>
      </x:c>
      <x:c r="AB3" s="249" t="str">
        <x:v>未来6–12个月明确触发因素</x:v>
      </x:c>
      <x:c r="AC3" s="249" t="str">
        <x:v>事件驱动型风险可提高Event权重</x:v>
      </x:c>
      <x:c r="AD3" s="249" t="str">
        <x:v>结构性/一般/事件型风险采用不同权重</x:v>
      </x:c>
      <x:c r="AE3" s="249" t="str">
        <x:v>项目自身暴露与损失后果</x:v>
      </x:c>
      <x:c r="AF3" s="249" t="str">
        <x:v>优先量化为损失金额、停工时间、现金流或资产暴露</x:v>
      </x:c>
      <x:c r="AG3" s="249" t="str">
        <x:v>防止极端事件被平均稀释</x:v>
      </x:c>
      <x:c r="AH3" s="249" t="str">
        <x:v>咨询建议及逻辑说明</x:v>
      </x:c>
    </x:row>
    <x:row r="4" s="12" customFormat="1" ht="80" customHeight="1">
      <x:c r="A4" s="64" t="s">
        <x:v>24</x:v>
      </x:c>
      <x:c r="B4" s="121" t="s">
        <x:v>25</x:v>
      </x:c>
      <x:c r="C4" s="58" t="s">
        <x:v>26</x:v>
      </x:c>
      <x:c r="D4" s="52" t="s">
        <x:v>27</x:v>
      </x:c>
      <x:c r="E4" s="58" t="s">
        <x:v>28</x:v>
      </x:c>
      <x:c r="F4" s="52" t="s">
        <x:v>29</x:v>
      </x:c>
      <x:c r="G4" s="55" t="s">
        <x:v>30</x:v>
      </x:c>
      <x:c r="H4" s="60" t="s">
        <x:v>31</x:v>
      </x:c>
      <x:c r="I4" s="60" t="s">
        <x:v>32</x:v>
      </x:c>
      <x:c r="J4" s="55" t="s">
        <x:v>33</x:v>
      </x:c>
      <x:c r="K4" s="75">
        <x:v>0.08</x:v>
      </x:c>
      <x:c r="L4" s="60" t="s">
        <x:v>34</x:v>
      </x:c>
      <x:c r="M4" s="60" t="s">
        <x:v>34</x:v>
      </x:c>
      <x:c r="N4" s="7" t="s">
        <x:v>35</x:v>
      </x:c>
      <x:c r="O4" s="7" t="s">
        <x:v>36</x:v>
      </x:c>
      <x:c r="P4" s="9" t="s">
        <x:v>37</x:v>
      </x:c>
      <x:c r="Q4" s="7" t="s">
        <x:v>38</x:v>
      </x:c>
      <x:c r="R4" s="9" t="s">
        <x:v>39</x:v>
      </x:c>
      <x:c r="S4" s="7" t="s">
        <x:v>40</x:v>
      </x:c>
      <x:c r="T4" s="7" t="s">
        <x:v>41</x:v>
      </x:c>
      <x:c r="U4" s="9" t="s">
        <x:v>42</x:v>
      </x:c>
      <x:c r="V4" s="16" t="s">
        <x:v>43</x:v>
      </x:c>
      <x:c r="X4" s="257" t="str">
        <x:v>Level</x:v>
      </x:c>
      <x:c r="Y4" s="257"/>
      <x:c r="Z4" s="259" t="str">
        <x:v>政治稳定性指数3年变化趋势</x:v>
      </x:c>
      <x:c r="AA4" s="259" t="str">
        <x:v>当期WGI政治稳定性百分位－3年前百分位；下降幅度越大，趋势风险越高。</x:v>
      </x:c>
      <x:c r="AB4" s="259" t="str">
        <x:v>大选风险强度（选举临近程度×历史选举争议/暴力记录）</x:v>
      </x:c>
      <x:c r="AC4" s="259" t="str">
        <x:v>结合距大选时间、近两次选举争议/暴力情况分档；重大选举危机可触发红线。</x:v>
      </x:c>
      <x:c r="AD4" s="259" t="str">
        <x:v>L=50%×Level+25%×Trend+25%×Event</x:v>
      </x:c>
      <x:c r="AE4" s="259" t="str">
        <x:v>经营中断、收入/回款损失、应急资金需求</x:v>
      </x:c>
      <x:c r="AF4" s="259" t="str">
        <x:v>I可按40%×经营中断天数评分+40%×受影响收入/现金流比例评分+20%×安保撤离等应急支出占EBITDA比例评分。</x:v>
      </x:c>
      <x:c r="AG4" s="259" t="str">
        <x:v>发生政变、全国性重大骚乱或政府失灵时，Likelihood不低于4级。</x:v>
      </x:c>
      <x:c r="AH4" s="259" t="str">
        <x:v>现有指标已覆盖Level/历史/Event，重点补强趋势和大选风险强度。</x:v>
      </x:c>
    </x:row>
    <x:row r="5" s="12" customFormat="1" ht="46.75" customHeight="1">
      <x:c r="A5" s="65"/>
      <x:c r="B5" s="122"/>
      <x:c r="C5" s="66"/>
      <x:c r="D5" s="53"/>
      <x:c r="E5" s="59"/>
      <x:c r="F5" s="95"/>
      <x:c r="G5" s="56"/>
      <x:c r="H5" s="61"/>
      <x:c r="I5" s="61"/>
      <x:c r="J5" s="56"/>
      <x:c r="K5" s="75"/>
      <x:c r="L5" s="73"/>
      <x:c r="M5" s="73"/>
      <x:c r="N5" s="7" t="s">
        <x:v>44</x:v>
      </x:c>
      <x:c r="O5" s="7" t="s">
        <x:v>45</x:v>
      </x:c>
      <x:c r="P5" s="9" t="s">
        <x:v>46</x:v>
      </x:c>
      <x:c r="Q5" s="7" t="s">
        <x:v>38</x:v>
      </x:c>
      <x:c r="R5" s="9" t="s">
        <x:v>39</x:v>
      </x:c>
      <x:c r="S5" s="7" t="s">
        <x:v>47</x:v>
      </x:c>
      <x:c r="T5" s="7" t="s">
        <x:v>48</x:v>
      </x:c>
      <x:c r="U5" s="9" t="s">
        <x:v>49</x:v>
      </x:c>
      <x:c r="X5" s="257" t="str">
        <x:v>History / Level</x:v>
      </x:c>
      <x:c r="Y5" s="257"/>
      <x:c r="Z5" s="257"/>
      <x:c r="AA5" s="257"/>
      <x:c r="AB5" s="257"/>
      <x:c r="AC5" s="257"/>
      <x:c r="AD5" s="257"/>
      <x:c r="AE5" s="257"/>
      <x:c r="AF5" s="257"/>
      <x:c r="AG5" s="257"/>
      <x:c r="AH5" s="257"/>
    </x:row>
    <x:row r="6" s="12" customFormat="1" ht="46.75" customHeight="1">
      <x:c r="A6" s="65"/>
      <x:c r="B6" s="122"/>
      <x:c r="C6" s="66"/>
      <x:c r="D6" s="53"/>
      <x:c r="E6" s="59"/>
      <x:c r="F6" s="96"/>
      <x:c r="G6" s="57"/>
      <x:c r="H6" s="61"/>
      <x:c r="I6" s="61"/>
      <x:c r="J6" s="57"/>
      <x:c r="K6" s="75"/>
      <x:c r="L6" s="73"/>
      <x:c r="M6" s="74"/>
      <x:c r="N6" s="7" t="s">
        <x:v>50</x:v>
      </x:c>
      <x:c r="O6" s="9" t="s">
        <x:v>51</x:v>
      </x:c>
      <x:c r="P6" s="9" t="s">
        <x:v>46</x:v>
      </x:c>
      <x:c r="Q6" s="7" t="s">
        <x:v>38</x:v>
      </x:c>
      <x:c r="R6" s="9" t="s">
        <x:v>39</x:v>
      </x:c>
      <x:c r="S6" s="7" t="s">
        <x:v>52</x:v>
      </x:c>
      <x:c r="T6" s="7" t="s">
        <x:v>53</x:v>
      </x:c>
      <x:c r="U6" s="9" t="s">
        <x:v>54</x:v>
      </x:c>
      <x:c r="X6" s="257" t="str">
        <x:v>Event</x:v>
      </x:c>
      <x:c r="Y6" s="257"/>
      <x:c r="Z6" s="257"/>
      <x:c r="AA6" s="257"/>
      <x:c r="AB6" s="257"/>
      <x:c r="AC6" s="257"/>
      <x:c r="AD6" s="257"/>
      <x:c r="AE6" s="257"/>
      <x:c r="AF6" s="257"/>
      <x:c r="AG6" s="257"/>
      <x:c r="AH6" s="257"/>
    </x:row>
    <x:row r="7" s="12" customFormat="1" ht="80" customHeight="1">
      <x:c r="A7" s="65"/>
      <x:c r="B7" s="122"/>
      <x:c r="C7" s="66"/>
      <x:c r="D7" s="53"/>
      <x:c r="E7" s="59"/>
      <x:c r="F7" s="4" t="s">
        <x:v>55</x:v>
      </x:c>
      <x:c r="G7" s="10" t="s">
        <x:v>56</x:v>
      </x:c>
      <x:c r="H7" s="61"/>
      <x:c r="I7" s="61"/>
      <x:c r="J7" s="10" t="s">
        <x:v>57</x:v>
      </x:c>
      <x:c r="K7" s="15">
        <x:v>0.08</x:v>
      </x:c>
      <x:c r="L7" s="2" t="s">
        <x:v>34</x:v>
      </x:c>
      <x:c r="M7" s="2" t="s">
        <x:v>34</x:v>
      </x:c>
      <x:c r="N7" s="7" t="s">
        <x:v>58</x:v>
      </x:c>
      <x:c r="O7" s="7" t="s">
        <x:v>36</x:v>
      </x:c>
      <x:c r="P7" s="9" t="s">
        <x:v>59</x:v>
      </x:c>
      <x:c r="Q7" s="7" t="s">
        <x:v>38</x:v>
      </x:c>
      <x:c r="R7" s="9" t="s">
        <x:v>60</x:v>
      </x:c>
      <x:c r="S7" s="7" t="s">
        <x:v>40</x:v>
      </x:c>
      <x:c r="T7" s="7" t="s">
        <x:v>41</x:v>
      </x:c>
      <x:c r="U7" s="9" t="s">
        <x:v>42</x:v>
      </x:c>
      <x:c r="V7" s="12" t="s">
        <x:v>61</x:v>
      </x:c>
      <x:c r="X7" s="257" t="str">
        <x:v>Level</x:v>
      </x:c>
      <x:c r="Y7" s="257"/>
      <x:c r="Z7" s="259" t="str">
        <x:v>政府效能3年变化趋势</x:v>
      </x:c>
      <x:c r="AA7" s="259" t="str">
        <x:v>当期WGI政府效能百分位－3年前百分位。</x:v>
      </x:c>
      <x:c r="AB7" s="259" t="str">
        <x:v>不强制设置宏观Event；可选项目关键审批异常延误事件</x:v>
      </x:c>
      <x:c r="AC7" s="259" t="str">
        <x:v>统计项目关键审批实际周期/法定或计划周期；出现系统性停滞时作为事件加分。</x:v>
      </x:c>
      <x:c r="AD7" s="259" t="str">
        <x:v>L=70%×Level+30%×Trend；如出现关键审批系统性停滞，可上调1级</x:v>
      </x:c>
      <x:c r="AE7" s="259" t="str">
        <x:v>关键审批延误月数、建设期新增成本</x:v>
      </x:c>
      <x:c r="AF7" s="259" t="str">
        <x:v>预计损失=审批延误月数×（月均建设期利息+管理成本+保费等固定支出）；再按损失/项目投资额或EBITDA映射1–5级。</x:v>
      </x:c>
      <x:c r="AG7" s="259" t="str">
        <x:v>核心许可长期无法取得且无明确解决路径时，Impact不低于4级。</x:v>
      </x:c>
      <x:c r="AH7" s="259" t="str">
        <x:v>结构性慢变量风险，不建议为了形式强行加入宏观Event。</x:v>
      </x:c>
    </x:row>
    <x:row r="8" s="12" customFormat="1" ht="80" customHeight="1">
      <x:c r="A8" s="65"/>
      <x:c r="B8" s="122"/>
      <x:c r="C8" s="66"/>
      <x:c r="D8" s="53"/>
      <x:c r="E8" s="59"/>
      <x:c r="F8" s="3" t="s">
        <x:v>62</x:v>
      </x:c>
      <x:c r="G8" s="23" t="s">
        <x:v>63</x:v>
      </x:c>
      <x:c r="H8" s="61"/>
      <x:c r="I8" s="62"/>
      <x:c r="J8" s="23" t="s">
        <x:v>64</x:v>
      </x:c>
      <x:c r="K8" s="15"/>
      <x:c r="L8" s="2" t="s">
        <x:v>34</x:v>
      </x:c>
      <x:c r="M8" s="2" t="s">
        <x:v>34</x:v>
      </x:c>
      <x:c r="N8" s="21" t="s">
        <x:v>65</x:v>
      </x:c>
      <x:c r="O8" s="21" t="s">
        <x:v>66</x:v>
      </x:c>
      <x:c r="P8" s="21" t="s">
        <x:v>67</x:v>
      </x:c>
      <x:c r="Q8" s="21" t="s">
        <x:v>68</x:v>
      </x:c>
      <x:c r="R8" s="21" t="s">
        <x:v>39</x:v>
      </x:c>
      <x:c r="S8" s="21" t="s">
        <x:v>69</x:v>
      </x:c>
      <x:c r="T8" s="21" t="s">
        <x:v>70</x:v>
      </x:c>
      <x:c r="U8" s="21" t="s">
        <x:v>71</x:v>
      </x:c>
      <x:c r="X8" s="257" t="str">
        <x:v>Level</x:v>
      </x:c>
      <x:c r="Y8" s="257"/>
      <x:c r="Z8" s="259" t="str">
        <x:v>近3年冲突死亡人数/重大暴力事件变化趋势</x:v>
      </x:c>
      <x:c r="AA8" s="259" t="str">
        <x:v>最近12个月UCDP战斗相关死亡人数与前12个月比较，并观察近3年趋势。</x:v>
      </x:c>
      <x:c r="AB8" s="259" t="str">
        <x:v>近90天冲突升级/政变/全国紧急状态/军事动员/邻国冲突外溢</x:v>
      </x:c>
      <x:c r="AC8" s="259" t="str">
        <x:v>发生任一重大升级事件则Event提高；项目所在地进入冲突区触发红线。</x:v>
      </x:c>
      <x:c r="AD8" s="259" t="str">
        <x:v>L=40%×Level+20%×Trend+40%×Event</x:v>
      </x:c>
      <x:c r="AE8" s="259" t="str">
        <x:v>项目停运、人员安全、资产受损、资金冻结/汇出受阻</x:v>
      </x:c>
      <x:c r="AF8" s="259" t="str">
        <x:v>I=30%×停运影响+30%×人员安全暴露+25%×资产暴露+15%×资金冻结/汇出受阻比例。</x:v>
      </x:c>
      <x:c r="AG8" s="259" t="str">
        <x:v>项目所在地进入战争/高强度武装冲突区域时，Likelihood与Impact均不低于4级。</x:v>
      </x:c>
      <x:c r="AH8" s="259" t="str">
        <x:v>典型事件驱动型风险，Event权重应高于一般风险。</x:v>
      </x:c>
    </x:row>
    <x:row r="9" s="12" customFormat="1" ht="123" customHeight="1">
      <x:c r="A9" s="65"/>
      <x:c r="B9" s="122"/>
      <x:c r="C9" s="66"/>
      <x:c r="D9" s="53"/>
      <x:c r="E9" s="59"/>
      <x:c r="F9" s="3"/>
      <x:c r="G9" s="23"/>
      <x:c r="H9" s="61"/>
      <x:c r="I9" s="29"/>
      <x:c r="J9" s="23"/>
      <x:c r="K9" s="15"/>
      <x:c r="L9" s="2"/>
      <x:c r="M9" s="2"/>
      <x:c r="N9" s="10" t="s">
        <x:v>72</x:v>
      </x:c>
      <x:c r="O9" s="10" t="s">
        <x:v>36</x:v>
      </x:c>
      <x:c r="P9" s="23" t="s">
        <x:v>73</x:v>
      </x:c>
      <x:c r="Q9" s="10" t="s">
        <x:v>38</x:v>
      </x:c>
      <x:c r="R9" s="23" t="s">
        <x:v>60</x:v>
      </x:c>
      <x:c r="S9" s="10" t="s">
        <x:v>74</x:v>
      </x:c>
      <x:c r="T9" s="10" t="s">
        <x:v>75</x:v>
      </x:c>
      <x:c r="U9" s="23" t="s">
        <x:v>76</x:v>
      </x:c>
      <x:c r="X9" s="257" t="str">
        <x:v>Level</x:v>
      </x:c>
      <x:c r="Y9" s="257"/>
      <x:c r="Z9" s="257"/>
      <x:c r="AA9" s="257"/>
      <x:c r="AB9" s="257"/>
      <x:c r="AC9" s="257"/>
      <x:c r="AD9" s="257"/>
      <x:c r="AE9" s="257"/>
      <x:c r="AF9" s="257"/>
      <x:c r="AG9" s="257"/>
      <x:c r="AH9" s="257"/>
    </x:row>
    <x:row r="10" s="12" customFormat="1" ht="80" customHeight="1">
      <x:c r="A10" s="65"/>
      <x:c r="B10" s="122"/>
      <x:c r="C10" s="66"/>
      <x:c r="D10" s="53"/>
      <x:c r="E10" s="59"/>
      <x:c r="F10" s="77" t="s">
        <x:v>77</x:v>
      </x:c>
      <x:c r="G10" s="84" t="s">
        <x:v>78</x:v>
      </x:c>
      <x:c r="H10" s="61"/>
      <x:c r="I10" s="60" t="s">
        <x:v>79</x:v>
      </x:c>
      <x:c r="J10" s="84" t="s">
        <x:v>80</x:v>
      </x:c>
      <x:c r="K10" s="75">
        <x:v>0.08</x:v>
      </x:c>
      <x:c r="L10" s="58" t="s">
        <x:v>34</x:v>
      </x:c>
      <x:c r="M10" s="58" t="s">
        <x:v>34</x:v>
      </x:c>
      <x:c r="N10" s="7" t="s">
        <x:v>81</x:v>
      </x:c>
      <x:c r="O10" s="7" t="s">
        <x:v>82</x:v>
      </x:c>
      <x:c r="P10" s="9" t="s">
        <x:v>46</x:v>
      </x:c>
      <x:c r="Q10" s="7" t="s">
        <x:v>68</x:v>
      </x:c>
      <x:c r="R10" s="9" t="s">
        <x:v>83</x:v>
      </x:c>
      <x:c r="S10" s="7" t="s">
        <x:v>84</x:v>
      </x:c>
      <x:c r="T10" s="7" t="s">
        <x:v>85</x:v>
      </x:c>
      <x:c r="U10" s="9" t="s">
        <x:v>86</x:v>
      </x:c>
      <x:c r="X10" s="257" t="str">
        <x:v>Level / Event</x:v>
      </x:c>
      <x:c r="Y10" s="257"/>
      <x:c r="Z10" s="259" t="str">
        <x:v>近12个月新增制裁/解除制裁净变化及外交关系恶化趋势</x:v>
      </x:c>
      <x:c r="AA10" s="259" t="str">
        <x:v>新增制裁措施数量－解除措施数量，并结合外交降级、召回大使等事件。</x:v>
      </x:c>
      <x:c r="AB10" s="259" t="str">
        <x:v>制裁法案审议、重大外交冲突、军事冲突或国际组织升级措施</x:v>
      </x:c>
      <x:c r="AC10" s="259" t="str">
        <x:v>对未来6–12个月已明确进入立法/执行流程的制裁事项单独计分。</x:v>
      </x:c>
      <x:c r="AD10" s="259" t="str">
        <x:v>L=40%×Level+20%×Trend+40%×Event</x:v>
      </x:c>
      <x:c r="AE10" s="259" t="str">
        <x:v>美元清算依赖、受制裁交易对手/银行暴露、替代结算通道</x:v>
      </x:c>
      <x:c r="AF10" s="259" t="str">
        <x:v>I=40%×美元清算依赖度+30%×受制裁交易对手/银行交易金额占比+30%×替代结算通道不足程度。</x:v>
      </x:c>
      <x:c r="AG10" s="259" t="str">
        <x:v>命中国制裁名单或核心结算通道被切断时，综合风险直接高风险。</x:v>
      </x:c>
      <x:c r="AH10" s="259" t="str">
        <x:v>将“美元清算依赖度”由Likelihood指标调整为Impact/Exposure指标。</x:v>
      </x:c>
    </x:row>
    <x:row r="11" s="12" customFormat="1" ht="46.75" customHeight="1">
      <x:c r="A11" s="65"/>
      <x:c r="B11" s="122"/>
      <x:c r="C11" s="66"/>
      <x:c r="D11" s="53"/>
      <x:c r="E11" s="59"/>
      <x:c r="F11" s="78"/>
      <x:c r="G11" s="85"/>
      <x:c r="H11" s="61"/>
      <x:c r="I11" s="61"/>
      <x:c r="J11" s="85"/>
      <x:c r="K11" s="75"/>
      <x:c r="L11" s="59"/>
      <x:c r="M11" s="59"/>
      <x:c r="N11" s="7" t="s">
        <x:v>87</x:v>
      </x:c>
      <x:c r="O11" s="7" t="s">
        <x:v>88</x:v>
      </x:c>
      <x:c r="P11" s="9" t="s">
        <x:v>46</x:v>
      </x:c>
      <x:c r="Q11" s="7" t="s">
        <x:v>68</x:v>
      </x:c>
      <x:c r="R11" s="9" t="s">
        <x:v>39</x:v>
      </x:c>
      <x:c r="S11" s="7" t="s">
        <x:v>89</x:v>
      </x:c>
      <x:c r="T11" s="7" t="s">
        <x:v>90</x:v>
      </x:c>
      <x:c r="U11" s="9" t="s">
        <x:v>91</x:v>
      </x:c>
      <x:c r="X11" s="257" t="str">
        <x:v>Impact / Exposure（调整）</x:v>
      </x:c>
      <x:c r="Y11" s="257" t="str">
        <x:v>从制裁风险Likelihood移至Impact/Exposure；保留原指标作为项目影响暴露项。</x:v>
      </x:c>
      <x:c r="Z11" s="257"/>
      <x:c r="AA11" s="257"/>
      <x:c r="AB11" s="257"/>
      <x:c r="AC11" s="257"/>
      <x:c r="AD11" s="257"/>
      <x:c r="AE11" s="257"/>
      <x:c r="AF11" s="257"/>
      <x:c r="AG11" s="257"/>
      <x:c r="AH11" s="257"/>
    </x:row>
    <x:row r="12" s="12" customFormat="1" ht="80" customHeight="1">
      <x:c r="A12" s="65"/>
      <x:c r="B12" s="122"/>
      <x:c r="C12" s="66"/>
      <x:c r="D12" s="53"/>
      <x:c r="E12" s="1"/>
      <x:c r="F12" s="79" t="s">
        <x:v>92</x:v>
      </x:c>
      <x:c r="G12" s="80" t="s">
        <x:v>93</x:v>
      </x:c>
      <x:c r="H12" s="61"/>
      <x:c r="I12" s="61"/>
      <x:c r="J12" s="80" t="s">
        <x:v>94</x:v>
      </x:c>
      <x:c r="K12" s="15"/>
      <x:c r="L12" s="2"/>
      <x:c r="M12" s="2"/>
      <x:c r="N12" s="23" t="s">
        <x:v>95</x:v>
      </x:c>
      <x:c r="O12" s="23" t="s">
        <x:v>96</x:v>
      </x:c>
      <x:c r="P12" s="23" t="s">
        <x:v>46</x:v>
      </x:c>
      <x:c r="Q12" s="10" t="s">
        <x:v>68</x:v>
      </x:c>
      <x:c r="R12" s="23" t="s">
        <x:v>39</x:v>
      </x:c>
      <x:c r="S12" s="23" t="s">
        <x:v>97</x:v>
      </x:c>
      <x:c r="T12" s="23" t="s">
        <x:v>98</x:v>
      </x:c>
      <x:c r="U12" s="23" t="s">
        <x:v>99</x:v>
      </x:c>
      <x:c r="X12" s="257" t="str">
        <x:v>History / Level</x:v>
      </x:c>
      <x:c r="Y12" s="257"/>
      <x:c r="Z12" s="259" t="str">
        <x:v>近12个月对华限制性政策净增数量及同比变化</x:v>
      </x:c>
      <x:c r="AA12" s="259" t="str">
        <x:v>滚动12个月新增限制性政策数，并与前12个月比较。</x:v>
      </x:c>
      <x:c r="AB12" s="259" t="str">
        <x:v>近期重大双边外交争端/针对中资企业国家安全审查或限制法案</x:v>
      </x:c>
      <x:c r="AC12" s="259" t="str">
        <x:v>按未来6–12个月明确可识别的政策或外交事件分档。</x:v>
      </x:c>
      <x:c r="AD12" s="259" t="str">
        <x:v>L=45%×Level+25%×Trend+30%×Event</x:v>
      </x:c>
      <x:c r="AE12" s="259" t="str">
        <x:v>中资身份敏感业务、待审批资产、中资供应链/融资依赖</x:v>
      </x:c>
      <x:c r="AF12" s="259" t="str">
        <x:v>I=40%×受影响项目资产占比+30%×待审批/待续期业务暴露+30%×中资供应链或融资依赖度。</x:v>
      </x:c>
      <x:c r="AG12" s="259" t="str">
        <x:v>出现全面禁止、强制退出或系统性针对中资措施时，Likelihood=5。</x:v>
      </x:c>
      <x:c r="AH12" s="259" t="str">
        <x:v>现有近12个月限制性政策指标可同时作为Level/Trend信号。</x:v>
      </x:c>
    </x:row>
    <x:row r="13" s="12" customFormat="1" ht="91" customHeight="1">
      <x:c r="A13" s="65"/>
      <x:c r="B13" s="122"/>
      <x:c r="C13" s="66"/>
      <x:c r="D13" s="54"/>
      <x:c r="E13" s="1"/>
      <x:c r="F13" s="54"/>
      <x:c r="G13" s="57"/>
      <x:c r="H13" s="61"/>
      <x:c r="I13" s="54"/>
      <x:c r="J13" s="57"/>
      <x:c r="K13" s="15"/>
      <x:c r="L13" s="2" t="s">
        <x:v>34</x:v>
      </x:c>
      <x:c r="M13" s="2" t="s">
        <x:v>34</x:v>
      </x:c>
      <x:c r="N13" s="21" t="s">
        <x:v>100</x:v>
      </x:c>
      <x:c r="O13" s="21" t="s">
        <x:v>101</x:v>
      </x:c>
      <x:c r="P13" s="21" t="s">
        <x:v>102</x:v>
      </x:c>
      <x:c r="Q13" s="21" t="s">
        <x:v>68</x:v>
      </x:c>
      <x:c r="R13" s="21" t="s">
        <x:v>103</x:v>
      </x:c>
      <x:c r="S13" s="21" t="s">
        <x:v>104</x:v>
      </x:c>
      <x:c r="T13" s="21" t="s">
        <x:v>105</x:v>
      </x:c>
      <x:c r="U13" s="21" t="s">
        <x:v>106</x:v>
      </x:c>
      <x:c r="X13" s="257" t="str">
        <x:v>Level / Trend / Event</x:v>
      </x:c>
      <x:c r="Y13" s="257"/>
      <x:c r="Z13" s="257"/>
      <x:c r="AA13" s="257"/>
      <x:c r="AB13" s="257"/>
      <x:c r="AC13" s="257"/>
      <x:c r="AD13" s="257"/>
      <x:c r="AE13" s="257"/>
      <x:c r="AF13" s="257"/>
      <x:c r="AG13" s="257"/>
      <x:c r="AH13" s="257"/>
    </x:row>
    <x:row r="14" s="12" customFormat="1" ht="80" customHeight="1">
      <x:c r="A14" s="65"/>
      <x:c r="B14" s="122"/>
      <x:c r="C14" s="66"/>
      <x:c r="D14" s="52" t="s">
        <x:v>107</x:v>
      </x:c>
      <x:c r="E14" s="58" t="s">
        <x:v>108</x:v>
      </x:c>
      <x:c r="F14" s="77" t="s">
        <x:v>109</x:v>
      </x:c>
      <x:c r="G14" s="87" t="s">
        <x:v>110</x:v>
      </x:c>
      <x:c r="H14" s="61"/>
      <x:c r="I14" s="60" t="s">
        <x:v>32</x:v>
      </x:c>
      <x:c r="J14" s="84" t="s">
        <x:v>111</x:v>
      </x:c>
      <x:c r="K14" s="75">
        <x:v>5.5E-2</x:v>
      </x:c>
      <x:c r="L14" s="2" t="s">
        <x:v>112</x:v>
      </x:c>
      <x:c r="M14" s="2" t="s">
        <x:v>113</x:v>
      </x:c>
      <x:c r="N14" s="10" t="s">
        <x:v>114</x:v>
      </x:c>
      <x:c r="O14" s="21" t="s">
        <x:v>115</x:v>
      </x:c>
      <x:c r="P14" s="21" t="s">
        <x:v>116</x:v>
      </x:c>
      <x:c r="Q14" s="21" t="s">
        <x:v>38</x:v>
      </x:c>
      <x:c r="R14" s="21" t="s">
        <x:v>60</x:v>
      </x:c>
      <x:c r="S14" s="21" t="s">
        <x:v>117</x:v>
      </x:c>
      <x:c r="T14" s="21" t="s">
        <x:v>118</x:v>
      </x:c>
      <x:c r="U14" s="21" t="s">
        <x:v>119</x:v>
      </x:c>
      <x:c r="X14" s="257" t="str">
        <x:v>Level</x:v>
      </x:c>
      <x:c r="Y14" s="257"/>
      <x:c r="Z14" s="259" t="str">
        <x:v>产业集中度/出口集中度3年变化趋势</x:v>
      </x:c>
      <x:c r="AA14" s="259" t="str">
        <x:v>分别计算HHI三年变化；集中度持续上升视为风险恶化。</x:v>
      </x:c>
      <x:c r="AB14" s="259" t="str">
        <x:v>原则上不设置</x:v>
      </x:c>
      <x:c r="AC14" s="259" t="str">
        <x:v>结构性风险为慢变量，以Level+Trend为主。</x:v>
      </x:c>
      <x:c r="AD14" s="259" t="str">
        <x:v>L=70%×Level+30%×Trend</x:v>
      </x:c>
      <x:c r="AE14" s="259" t="str">
        <x:v>项目收入对单一行业/商品周期暴露、购电方行业集中度</x:v>
      </x:c>
      <x:c r="AF14" s="259" t="str">
        <x:v>I可按项目收入中与高集中行业相关收入占比、购电方收入对核心行业依赖度综合评分。</x:v>
      </x:c>
      <x:c r="AG14" s="259" t="str">
        <x:v>无。</x:v>
      </x:c>
      <x:c r="AH14" s="259" t="str">
        <x:v>避免为结构性慢变量机械增加Event。</x:v>
      </x:c>
    </x:row>
    <x:row r="15" s="12" customFormat="1" ht="46.75" customHeight="1">
      <x:c r="A15" s="65"/>
      <x:c r="B15" s="122"/>
      <x:c r="C15" s="66"/>
      <x:c r="D15" s="76"/>
      <x:c r="E15" s="59"/>
      <x:c r="F15" s="78"/>
      <x:c r="G15" s="88"/>
      <x:c r="H15" s="61"/>
      <x:c r="I15" s="61"/>
      <x:c r="J15" s="85"/>
      <x:c r="K15" s="75"/>
      <x:c r="L15" s="60" t="s">
        <x:v>120</x:v>
      </x:c>
      <x:c r="M15" s="60" t="s">
        <x:v>121</x:v>
      </x:c>
      <x:c r="N15" s="55" t="s">
        <x:v>122</x:v>
      </x:c>
      <x:c r="O15" s="55" t="s">
        <x:v>123</x:v>
      </x:c>
      <x:c r="P15" s="80" t="s">
        <x:v>46</x:v>
      </x:c>
      <x:c r="Q15" s="55" t="s">
        <x:v>38</x:v>
      </x:c>
      <x:c r="R15" s="80" t="s">
        <x:v>60</x:v>
      </x:c>
      <x:c r="S15" s="55" t="s">
        <x:v>124</x:v>
      </x:c>
      <x:c r="T15" s="55" t="s">
        <x:v>125</x:v>
      </x:c>
      <x:c r="U15" s="80" t="s">
        <x:v>126</x:v>
      </x:c>
      <x:c r="X15" s="257" t="str">
        <x:v>Level</x:v>
      </x:c>
      <x:c r="Y15" s="257"/>
      <x:c r="Z15" s="257"/>
      <x:c r="AA15" s="257"/>
      <x:c r="AB15" s="257"/>
      <x:c r="AC15" s="257"/>
      <x:c r="AD15" s="257"/>
      <x:c r="AE15" s="257"/>
      <x:c r="AF15" s="257"/>
      <x:c r="AG15" s="257"/>
      <x:c r="AH15" s="257"/>
    </x:row>
    <x:row r="16" s="12" customFormat="1" ht="46.75" customHeight="1">
      <x:c r="A16" s="65"/>
      <x:c r="B16" s="122"/>
      <x:c r="C16" s="66"/>
      <x:c r="D16" s="76"/>
      <x:c r="E16" s="59"/>
      <x:c r="F16" s="78"/>
      <x:c r="G16" s="88"/>
      <x:c r="H16" s="61"/>
      <x:c r="I16" s="61"/>
      <x:c r="J16" s="85"/>
      <x:c r="K16" s="75"/>
      <x:c r="L16" s="74"/>
      <x:c r="M16" s="74"/>
      <x:c r="N16" s="86"/>
      <x:c r="O16" s="86"/>
      <x:c r="P16" s="86"/>
      <x:c r="Q16" s="86"/>
      <x:c r="R16" s="86"/>
      <x:c r="S16" s="86"/>
      <x:c r="T16" s="86"/>
      <x:c r="U16" s="86"/>
      <x:c r="X16" s="257"/>
      <x:c r="Y16" s="257"/>
      <x:c r="Z16" s="257"/>
      <x:c r="AA16" s="257"/>
      <x:c r="AB16" s="257"/>
      <x:c r="AC16" s="257"/>
      <x:c r="AD16" s="257"/>
      <x:c r="AE16" s="257"/>
      <x:c r="AF16" s="257"/>
      <x:c r="AG16" s="257"/>
      <x:c r="AH16" s="257"/>
    </x:row>
    <x:row r="17" s="12" customFormat="1" ht="80" customHeight="1">
      <x:c r="A17" s="65"/>
      <x:c r="B17" s="122"/>
      <x:c r="C17" s="66"/>
      <x:c r="D17" s="76"/>
      <x:c r="E17" s="59"/>
      <x:c r="F17" s="4" t="s">
        <x:v>127</x:v>
      </x:c>
      <x:c r="G17" s="10" t="s">
        <x:v>128</x:v>
      </x:c>
      <x:c r="H17" s="61"/>
      <x:c r="I17" s="61"/>
      <x:c r="J17" s="10" t="s">
        <x:v>129</x:v>
      </x:c>
      <x:c r="K17" s="15">
        <x:v>5.5E-2</x:v>
      </x:c>
      <x:c r="L17" s="2" t="s">
        <x:v>34</x:v>
      </x:c>
      <x:c r="M17" s="2" t="s">
        <x:v>34</x:v>
      </x:c>
      <x:c r="N17" s="7" t="s">
        <x:v>130</x:v>
      </x:c>
      <x:c r="O17" s="7" t="s">
        <x:v>131</x:v>
      </x:c>
      <x:c r="P17" s="9" t="s">
        <x:v>132</x:v>
      </x:c>
      <x:c r="Q17" s="7" t="s">
        <x:v>38</x:v>
      </x:c>
      <x:c r="R17" s="9" t="s">
        <x:v>103</x:v>
      </x:c>
      <x:c r="S17" s="7" t="s">
        <x:v>133</x:v>
      </x:c>
      <x:c r="T17" s="7" t="s">
        <x:v>134</x:v>
      </x:c>
      <x:c r="U17" s="9" t="s">
        <x:v>135</x:v>
      </x:c>
      <x:c r="X17" s="257" t="str">
        <x:v>Level</x:v>
      </x:c>
      <x:c r="Y17" s="257"/>
      <x:c r="Z17" s="259" t="str">
        <x:v>过去12个月CPI变化趋势及未来12个月IMF通胀预测</x:v>
      </x:c>
      <x:c r="AA17" s="259" t="str">
        <x:v>计算近12个月CPI同比变动斜率，并比较IMF下一年度预测与当前值。</x:v>
      </x:c>
      <x:c r="AB17" s="259" t="str">
        <x:v>重大能源/食品价格冲击或价格管制调整</x:v>
      </x:c>
      <x:c r="AC17" s="259" t="str">
        <x:v>如出现大宗商品价格剧烈上涨、补贴取消等，可作为Event加分。</x:v>
      </x:c>
      <x:c r="AD17" s="259" t="str">
        <x:v>L=50%×Level+35%×Trend+15%×Event</x:v>
      </x:c>
      <x:c r="AE17" s="259" t="str">
        <x:v>不可转嫁成本、实际收入缩水</x:v>
      </x:c>
      <x:c r="AF17" s="259" t="str">
        <x:v>成本通胀暴露率=不可转嫁本币成本/项目总成本；潜在利润影响=(预测成本上涨-可转嫁金额)/EBITDA。</x:v>
      </x:c>
      <x:c r="AG17" s="259" t="str">
        <x:v>成本无法转嫁且预计新增成本&gt;20% EBITDA时，Impact=5。</x:v>
      </x:c>
      <x:c r="AH17" s="259" t="str">
        <x:v>重点从静态CPI升级为Level+趋势+前瞻预测。</x:v>
      </x:c>
    </x:row>
    <x:row r="18" s="12" customFormat="1" ht="80" customHeight="1">
      <x:c r="A18" s="65"/>
      <x:c r="B18" s="122"/>
      <x:c r="C18" s="66"/>
      <x:c r="D18" s="76"/>
      <x:c r="E18" s="59"/>
      <x:c r="F18" s="4" t="s">
        <x:v>136</x:v>
      </x:c>
      <x:c r="G18" s="10" t="s">
        <x:v>137</x:v>
      </x:c>
      <x:c r="H18" s="61"/>
      <x:c r="I18" s="61"/>
      <x:c r="J18" s="10" t="s">
        <x:v>138</x:v>
      </x:c>
      <x:c r="K18" s="15">
        <x:v>5.5E-2</x:v>
      </x:c>
      <x:c r="L18" s="2" t="s">
        <x:v>34</x:v>
      </x:c>
      <x:c r="M18" s="2" t="s">
        <x:v>34</x:v>
      </x:c>
      <x:c r="N18" s="7" t="s">
        <x:v>139</x:v>
      </x:c>
      <x:c r="O18" s="7" t="s">
        <x:v>36</x:v>
      </x:c>
      <x:c r="P18" s="9" t="s">
        <x:v>140</x:v>
      </x:c>
      <x:c r="Q18" s="7" t="s">
        <x:v>38</x:v>
      </x:c>
      <x:c r="R18" s="9" t="s">
        <x:v>60</x:v>
      </x:c>
      <x:c r="S18" s="7" t="s">
        <x:v>141</x:v>
      </x:c>
      <x:c r="T18" s="7" t="s">
        <x:v>142</x:v>
      </x:c>
      <x:c r="U18" s="9" t="s">
        <x:v>143</x:v>
      </x:c>
      <x:c r="V18" s="16" t="s">
        <x:v>144</x:v>
      </x:c>
      <x:c r="X18" s="257" t="str">
        <x:v>Level（建议补充电力基础设施指标）</x:v>
      </x:c>
      <x:c r="Y18" s="257"/>
      <x:c r="Z18" s="259" t="str">
        <x:v>物流/电网可靠性近3年变化</x:v>
      </x:c>
      <x:c r="AA18" s="259" t="str">
        <x:v>观察LPI、电网停电时长、输配电损耗等指标三年趋势。</x:v>
      </x:c>
      <x:c r="AB18" s="259" t="str">
        <x:v>项目相关并网、道路、港口等关键基础设施建设延期</x:v>
      </x:c>
      <x:c r="AC18" s="259" t="str">
        <x:v>关键配套项目延期超计划一定比例时计入Event。</x:v>
      </x:c>
      <x:c r="AD18" s="259" t="str">
        <x:v>L=55%×Level+25%×Trend+20%×Event</x:v>
      </x:c>
      <x:c r="AE18" s="259" t="str">
        <x:v>停运小时、并网延期、替代运输/供电成本</x:v>
      </x:c>
      <x:c r="AF18" s="259" t="str">
        <x:v>预计损失=基础设施故障/延期小时或天数×单位时间收入损失+替代运输/供电成本。</x:v>
      </x:c>
      <x:c r="AG18" s="259" t="str">
        <x:v>关键并网设施无法按期投运且无替代方案时，Impact不低于4级。</x:v>
      </x:c>
      <x:c r="AH18" s="259" t="str">
        <x:v>建议在现有物流指标基础上补充电力基础设施可靠性，更贴近能源项目。</x:v>
      </x:c>
    </x:row>
    <x:row r="19" s="12" customFormat="1" ht="80" customHeight="1">
      <x:c r="A19" s="65"/>
      <x:c r="B19" s="122"/>
      <x:c r="C19" s="66"/>
      <x:c r="D19" s="61"/>
      <x:c r="E19" s="1"/>
      <x:c r="F19" s="3" t="s">
        <x:v>145</x:v>
      </x:c>
      <x:c r="G19" s="23" t="s">
        <x:v>146</x:v>
      </x:c>
      <x:c r="H19" s="61"/>
      <x:c r="I19" s="61"/>
      <x:c r="J19" s="23" t="s">
        <x:v>147</x:v>
      </x:c>
      <x:c r="K19" s="15"/>
      <x:c r="L19" s="2" t="s">
        <x:v>34</x:v>
      </x:c>
      <x:c r="M19" s="2" t="s">
        <x:v>34</x:v>
      </x:c>
      <x:c r="N19" s="10" t="s">
        <x:v>148</x:v>
      </x:c>
      <x:c r="O19" s="10" t="s">
        <x:v>149</x:v>
      </x:c>
      <x:c r="P19" s="23" t="s">
        <x:v>132</x:v>
      </x:c>
      <x:c r="Q19" s="10" t="s">
        <x:v>38</x:v>
      </x:c>
      <x:c r="R19" s="23" t="s">
        <x:v>39</x:v>
      </x:c>
      <x:c r="S19" s="10" t="s">
        <x:v>150</x:v>
      </x:c>
      <x:c r="T19" s="10" t="s">
        <x:v>151</x:v>
      </x:c>
      <x:c r="U19" s="23" t="s">
        <x:v>152</x:v>
      </x:c>
      <x:c r="X19" s="257" t="str">
        <x:v>Level</x:v>
      </x:c>
      <x:c r="Y19" s="257"/>
      <x:c r="Z19" s="259" t="str">
        <x:v>GDP增速3年趋势及未来1–2年IMF预测</x:v>
      </x:c>
      <x:c r="AA19" s="259" t="str">
        <x:v>计算近3年实际GDP增速变化，并比较未来预测是否继续下行。</x:v>
      </x:c>
      <x:c r="AB19" s="259" t="str">
        <x:v>重大衰退触发事件（金融危机、商品价格冲击等）</x:v>
      </x:c>
      <x:c r="AC19" s="259" t="str">
        <x:v>可选；若无明确事件，可主要采用Level+Trend。</x:v>
      </x:c>
      <x:c r="AD19" s="259" t="str">
        <x:v>L=55%×Level+35%×Trend+10%×Event</x:v>
      </x:c>
      <x:c r="AE19" s="259" t="str">
        <x:v>电力需求、购电方经营、项目收入/现金流</x:v>
      </x:c>
      <x:c r="AF19" s="259" t="str">
        <x:v>I=40%×项目收入对经济周期敏感度+30%×购电方经营敏感度+30%×预计现金流下降比例。</x:v>
      </x:c>
      <x:c r="AG19" s="259" t="str">
        <x:v>预计项目经营现金流下降&gt;20%时，Impact=5。</x:v>
      </x:c>
      <x:c r="AH19" s="259" t="str">
        <x:v>增加IMF预测可显著提升前瞻性。</x:v>
      </x:c>
    </x:row>
    <x:row r="20" s="12" customFormat="1" ht="80" customHeight="1">
      <x:c r="A20" s="65"/>
      <x:c r="B20" s="122"/>
      <x:c r="C20" s="66"/>
      <x:c r="D20" s="61"/>
      <x:c r="E20" s="1"/>
      <x:c r="F20" s="79" t="s">
        <x:v>153</x:v>
      </x:c>
      <x:c r="G20" s="80" t="s">
        <x:v>154</x:v>
      </x:c>
      <x:c r="H20" s="61"/>
      <x:c r="I20" s="61"/>
      <x:c r="J20" s="80" t="s">
        <x:v>155</x:v>
      </x:c>
      <x:c r="K20" s="15"/>
      <x:c r="L20" s="60" t="s">
        <x:v>34</x:v>
      </x:c>
      <x:c r="M20" s="60" t="s">
        <x:v>34</x:v>
      </x:c>
      <x:c r="N20" s="10" t="s">
        <x:v>156</x:v>
      </x:c>
      <x:c r="O20" s="10" t="s">
        <x:v>157</x:v>
      </x:c>
      <x:c r="P20" s="23" t="s">
        <x:v>132</x:v>
      </x:c>
      <x:c r="Q20" s="10" t="s">
        <x:v>38</x:v>
      </x:c>
      <x:c r="R20" s="23" t="s">
        <x:v>60</x:v>
      </x:c>
      <x:c r="S20" s="10" t="s">
        <x:v>158</x:v>
      </x:c>
      <x:c r="T20" s="10" t="s">
        <x:v>159</x:v>
      </x:c>
      <x:c r="U20" s="23" t="s">
        <x:v>160</x:v>
      </x:c>
      <x:c r="X20" s="257" t="str">
        <x:v>Level</x:v>
      </x:c>
      <x:c r="Y20" s="257"/>
      <x:c r="Z20" s="259" t="str">
        <x:v>政府债务率与财政赤字率3年变化</x:v>
      </x:c>
      <x:c r="AA20" s="259" t="str">
        <x:v>分别计算债务率、赤字率三年变化，并对持续恶化提高评分。</x:v>
      </x:c>
      <x:c r="AB20" s="259" t="str">
        <x:v>未来12个月政府债务集中到期压力</x:v>
      </x:c>
      <x:c r="AC20" s="259" t="str">
        <x:v>未来12个月到期政府债务/财政收入或GDP；集中到期越高，Event越高。</x:v>
      </x:c>
      <x:c r="AD20" s="259" t="str">
        <x:v>L=50%×Level+30%×Trend+20%×Event</x:v>
      </x:c>
      <x:c r="AE20" s="259" t="str">
        <x:v>政府相关收入、补贴、政府担保融资暴露</x:v>
      </x:c>
      <x:c r="AF20" s="259" t="str">
        <x:v>I=50%×政府/国企相关收入占比+30%×政府担保融资暴露+20%×财政补贴依赖度。</x:v>
      </x:c>
      <x:c r="AG20" s="259" t="str">
        <x:v>政府停止支付项目核心补贴/购电款时，Impact不低于4级。</x:v>
      </x:c>
      <x:c r="AH20" s="259" t="str">
        <x:v>将财政状况与项目对政府支付链条的依赖分开。</x:v>
      </x:c>
    </x:row>
    <x:row r="21" s="12" customFormat="1" ht="90" customHeight="1">
      <x:c r="A21" s="65"/>
      <x:c r="B21" s="122"/>
      <x:c r="C21" s="66"/>
      <x:c r="D21" s="61"/>
      <x:c r="E21" s="1"/>
      <x:c r="F21" s="54"/>
      <x:c r="G21" s="57"/>
      <x:c r="H21" s="61"/>
      <x:c r="I21" s="61"/>
      <x:c r="J21" s="57"/>
      <x:c r="K21" s="15"/>
      <x:c r="L21" s="54"/>
      <x:c r="M21" s="54"/>
      <x:c r="N21" s="10" t="s">
        <x:v>161</x:v>
      </x:c>
      <x:c r="O21" s="10" t="s">
        <x:v>162</x:v>
      </x:c>
      <x:c r="P21" s="23" t="s">
        <x:v>132</x:v>
      </x:c>
      <x:c r="Q21" s="10" t="s">
        <x:v>38</x:v>
      </x:c>
      <x:c r="R21" s="23" t="s">
        <x:v>60</x:v>
      </x:c>
      <x:c r="S21" s="10" t="s">
        <x:v>163</x:v>
      </x:c>
      <x:c r="T21" s="10" t="s">
        <x:v>164</x:v>
      </x:c>
      <x:c r="U21" s="23" t="s">
        <x:v>165</x:v>
      </x:c>
      <x:c r="X21" s="257" t="str">
        <x:v>Level</x:v>
      </x:c>
      <x:c r="Y21" s="257"/>
      <x:c r="Z21" s="257"/>
      <x:c r="AA21" s="257"/>
      <x:c r="AB21" s="257"/>
      <x:c r="AC21" s="257"/>
      <x:c r="AD21" s="257"/>
      <x:c r="AE21" s="257"/>
      <x:c r="AF21" s="257"/>
      <x:c r="AG21" s="257"/>
      <x:c r="AH21" s="257"/>
    </x:row>
    <x:row r="22" s="12" customFormat="1" ht="80" customHeight="1">
      <x:c r="A22" s="65"/>
      <x:c r="B22" s="122"/>
      <x:c r="C22" s="66"/>
      <x:c r="D22" s="61"/>
      <x:c r="E22" s="1"/>
      <x:c r="F22" s="22" t="s">
        <x:v>166</x:v>
      </x:c>
      <x:c r="G22" s="24" t="s">
        <x:v>167</x:v>
      </x:c>
      <x:c r="H22" s="61"/>
      <x:c r="I22" s="61"/>
      <x:c r="J22" s="23" t="s">
        <x:v>168</x:v>
      </x:c>
      <x:c r="K22" s="15"/>
      <x:c r="L22" s="8" t="s">
        <x:v>34</x:v>
      </x:c>
      <x:c r="M22" s="2" t="s">
        <x:v>34</x:v>
      </x:c>
      <x:c r="N22" s="21" t="s">
        <x:v>169</x:v>
      </x:c>
      <x:c r="O22" s="21" t="s">
        <x:v>170</x:v>
      </x:c>
      <x:c r="P22" s="21" t="s">
        <x:v>171</x:v>
      </x:c>
      <x:c r="Q22" s="21" t="s">
        <x:v>38</x:v>
      </x:c>
      <x:c r="R22" s="21" t="s">
        <x:v>60</x:v>
      </x:c>
      <x:c r="S22" s="21" t="s">
        <x:v>172</x:v>
      </x:c>
      <x:c r="T22" s="21" t="s">
        <x:v>173</x:v>
      </x:c>
      <x:c r="U22" s="21" t="s">
        <x:v>174</x:v>
      </x:c>
      <x:c r="X22" s="257" t="str">
        <x:v>Level</x:v>
      </x:c>
      <x:c r="Y22" s="257"/>
      <x:c r="Z22" s="259" t="str">
        <x:v>外储覆盖月数及贸易差额趋势</x:v>
      </x:c>
      <x:c r="AA22" s="259" t="str">
        <x:v>已有3年贸易差额恶化趋势；建议同时增加外储进口覆盖月数2–3年变化。</x:v>
      </x:c>
      <x:c r="AB22" s="259" t="str">
        <x:v>短期外债/外汇储备及未来12个月大额外债偿付压力</x:v>
      </x:c>
      <x:c r="AC22" s="259" t="str">
        <x:v>短期外债÷外汇储备；比值越高，事件性外汇压力越大。</x:v>
      </x:c>
      <x:c r="AD22" s="259" t="str">
        <x:v>L=50%×Level+30%×Trend+20%×Event</x:v>
      </x:c>
      <x:c r="AE22" s="259" t="str">
        <x:v>外币债务、进口设备/燃料、利润汇回需求</x:v>
      </x:c>
      <x:c r="AF22" s="259" t="str">
        <x:v>I=40%×外币债务偿付需求+30%×进口外币需求+30%×利润/本金汇回需求（均按项目现金流占比评分）。</x:v>
      </x:c>
      <x:c r="AG22" s="259" t="str">
        <x:v>外储极低且出现实质性购汇/汇出限制时，与外汇管制风险联动上调。</x:v>
      </x:c>
      <x:c r="AH22" s="259" t="str">
        <x:v>现有贸易差额指标已经具备Trend属性。</x:v>
      </x:c>
    </x:row>
    <x:row r="23" s="12" customFormat="1" ht="89" customHeight="1">
      <x:c r="A23" s="65"/>
      <x:c r="B23" s="122"/>
      <x:c r="C23" s="66"/>
      <x:c r="D23" s="61"/>
      <x:c r="E23" s="1"/>
      <x:c r="F23" s="22"/>
      <x:c r="G23" s="24"/>
      <x:c r="H23" s="29"/>
      <x:c r="I23" s="29"/>
      <x:c r="J23" s="23"/>
      <x:c r="K23" s="15"/>
      <x:c r="L23" s="46"/>
      <x:c r="M23" s="6"/>
      <x:c r="N23" s="21" t="s">
        <x:v>175</x:v>
      </x:c>
      <x:c r="O23" s="21" t="s">
        <x:v>176</x:v>
      </x:c>
      <x:c r="P23" s="21"/>
      <x:c r="Q23" s="21"/>
      <x:c r="R23" s="21"/>
      <x:c r="S23" s="21" t="s">
        <x:v>177</x:v>
      </x:c>
      <x:c r="T23" s="21" t="s">
        <x:v>178</x:v>
      </x:c>
      <x:c r="U23" s="21" t="s">
        <x:v>179</x:v>
      </x:c>
      <x:c r="X23" s="257" t="str">
        <x:v>Level / Trend</x:v>
      </x:c>
      <x:c r="Y23" s="257"/>
      <x:c r="Z23" s="257"/>
      <x:c r="AA23" s="257"/>
      <x:c r="AB23" s="257"/>
      <x:c r="AC23" s="257"/>
      <x:c r="AD23" s="257"/>
      <x:c r="AE23" s="257"/>
      <x:c r="AF23" s="257"/>
      <x:c r="AG23" s="257"/>
      <x:c r="AH23" s="257"/>
    </x:row>
    <x:row r="24" s="12" customFormat="1" ht="80" customHeight="1">
      <x:c r="A24" s="65"/>
      <x:c r="B24" s="122"/>
      <x:c r="C24" s="66"/>
      <x:c r="D24" s="61"/>
      <x:c r="E24" s="1"/>
      <x:c r="F24" s="79" t="s">
        <x:v>180</x:v>
      </x:c>
      <x:c r="G24" s="84" t="s">
        <x:v>181</x:v>
      </x:c>
      <x:c r="H24" s="76" t="s">
        <x:v>182</x:v>
      </x:c>
      <x:c r="I24" s="77" t="s">
        <x:v>183</x:v>
      </x:c>
      <x:c r="J24" s="84" t="s">
        <x:v>184</x:v>
      </x:c>
      <x:c r="K24" s="15"/>
      <x:c r="L24" s="52" t="s">
        <x:v>185</x:v>
      </x:c>
      <x:c r="M24" s="52" t="s">
        <x:v>186</x:v>
      </x:c>
      <x:c r="N24" s="10" t="s">
        <x:v>187</x:v>
      </x:c>
      <x:c r="O24" s="10" t="s">
        <x:v>188</x:v>
      </x:c>
      <x:c r="P24" s="23" t="s">
        <x:v>189</x:v>
      </x:c>
      <x:c r="Q24" s="10" t="s">
        <x:v>68</x:v>
      </x:c>
      <x:c r="R24" s="23" t="s">
        <x:v>103</x:v>
      </x:c>
      <x:c r="S24" s="10" t="s">
        <x:v>190</x:v>
      </x:c>
      <x:c r="T24" s="10" t="s">
        <x:v>191</x:v>
      </x:c>
      <x:c r="U24" s="23" t="s">
        <x:v>192</x:v>
      </x:c>
      <x:c r="X24" s="257" t="str">
        <x:v>Level</x:v>
      </x:c>
      <x:c r="Y24" s="257"/>
      <x:c r="Z24" s="259" t="str">
        <x:v>主权评级展望变化、CDS近3/6个月变化</x:v>
      </x:c>
      <x:c r="AA24" s="259" t="str">
        <x:v>评级展望负面/连续下调加分；CDS相对3/6个月前上升幅度越大风险越高。</x:v>
      </x:c>
      <x:c r="AB24" s="259" t="str">
        <x:v>未来12个月主权外债集中到期/外储压力</x:v>
      </x:c>
      <x:c r="AC24" s="259" t="str">
        <x:v>未来12个月到期外币主权债务÷外汇储备。</x:v>
      </x:c>
      <x:c r="AD24" s="259" t="str">
        <x:v>L=45%×Level+30%×Trend+25%×Event</x:v>
      </x:c>
      <x:c r="AE24" s="259" t="str">
        <x:v>政府/国企购电收入、政府担保融资、交叉违约暴露</x:v>
      </x:c>
      <x:c r="AF24" s="259" t="str">
        <x:v>I按受主权信用事件影响的收入/融资余额/资产净值占项目总资产或EBITDA比例映射1–5级。</x:v>
      </x:c>
      <x:c r="AG24" s="259" t="str">
        <x:v>发生主权违约、债务重组或支付暂停时，Likelihood=5。</x:v>
      </x:c>
      <x:c r="AH24" s="259" t="str">
        <x:v>主权评级、CDS、外债、担保历史为Likelihood；银行NPL/CAR更宜作为金融体系传导因子。</x:v>
      </x:c>
    </x:row>
    <x:row r="25" s="12" customFormat="1" ht="46.75" customHeight="1">
      <x:c r="A25" s="65"/>
      <x:c r="B25" s="122"/>
      <x:c r="C25" s="66"/>
      <x:c r="D25" s="61"/>
      <x:c r="E25" s="1"/>
      <x:c r="F25" s="76"/>
      <x:c r="G25" s="85"/>
      <x:c r="H25" s="76"/>
      <x:c r="I25" s="78"/>
      <x:c r="J25" s="85"/>
      <x:c r="K25" s="15"/>
      <x:c r="L25" s="61"/>
      <x:c r="M25" s="61"/>
      <x:c r="N25" s="10" t="s">
        <x:v>193</x:v>
      </x:c>
      <x:c r="O25" s="10" t="s">
        <x:v>36</x:v>
      </x:c>
      <x:c r="P25" s="23" t="s">
        <x:v>194</x:v>
      </x:c>
      <x:c r="Q25" s="10" t="s">
        <x:v>38</x:v>
      </x:c>
      <x:c r="R25" s="23" t="s">
        <x:v>195</x:v>
      </x:c>
      <x:c r="S25" s="10" t="s">
        <x:v>196</x:v>
      </x:c>
      <x:c r="T25" s="10" t="s">
        <x:v>197</x:v>
      </x:c>
      <x:c r="U25" s="23" t="s">
        <x:v>198</x:v>
      </x:c>
      <x:c r="X25" s="257" t="str">
        <x:v>Level / Market expectation</x:v>
      </x:c>
      <x:c r="Y25" s="257"/>
      <x:c r="Z25" s="257"/>
      <x:c r="AA25" s="257"/>
      <x:c r="AB25" s="257"/>
      <x:c r="AC25" s="257"/>
      <x:c r="AD25" s="257"/>
      <x:c r="AE25" s="257"/>
      <x:c r="AF25" s="257"/>
      <x:c r="AG25" s="257"/>
      <x:c r="AH25" s="257"/>
    </x:row>
    <x:row r="26" s="12" customFormat="1" ht="46.75" customHeight="1">
      <x:c r="A26" s="65"/>
      <x:c r="B26" s="122"/>
      <x:c r="C26" s="66"/>
      <x:c r="D26" s="61"/>
      <x:c r="E26" s="1"/>
      <x:c r="F26" s="76"/>
      <x:c r="G26" s="85"/>
      <x:c r="H26" s="76"/>
      <x:c r="I26" s="78"/>
      <x:c r="J26" s="85"/>
      <x:c r="K26" s="15"/>
      <x:c r="L26" s="62"/>
      <x:c r="M26" s="62"/>
      <x:c r="N26" s="10" t="s">
        <x:v>199</x:v>
      </x:c>
      <x:c r="O26" s="10" t="s">
        <x:v>200</x:v>
      </x:c>
      <x:c r="P26" s="23" t="s">
        <x:v>201</x:v>
      </x:c>
      <x:c r="Q26" s="10" t="s">
        <x:v>38</x:v>
      </x:c>
      <x:c r="R26" s="23" t="s">
        <x:v>60</x:v>
      </x:c>
      <x:c r="S26" s="10" t="s">
        <x:v>202</x:v>
      </x:c>
      <x:c r="T26" s="10" t="s">
        <x:v>203</x:v>
      </x:c>
      <x:c r="U26" s="23" t="s">
        <x:v>204</x:v>
      </x:c>
      <x:c r="X26" s="257" t="str">
        <x:v>Level</x:v>
      </x:c>
      <x:c r="Y26" s="257"/>
      <x:c r="Z26" s="257"/>
      <x:c r="AA26" s="257"/>
      <x:c r="AB26" s="257"/>
      <x:c r="AC26" s="257"/>
      <x:c r="AD26" s="257"/>
      <x:c r="AE26" s="257"/>
      <x:c r="AF26" s="257"/>
      <x:c r="AG26" s="257"/>
      <x:c r="AH26" s="257"/>
    </x:row>
    <x:row r="27" s="12" customFormat="1" ht="65.25" customHeight="1">
      <x:c r="A27" s="65"/>
      <x:c r="B27" s="122"/>
      <x:c r="C27" s="66"/>
      <x:c r="D27" s="61"/>
      <x:c r="E27" s="1"/>
      <x:c r="F27" s="61"/>
      <x:c r="G27" s="85"/>
      <x:c r="H27" s="76"/>
      <x:c r="I27" s="78"/>
      <x:c r="J27" s="85"/>
      <x:c r="K27" s="15"/>
      <x:c r="L27" s="4" t="s">
        <x:v>205</x:v>
      </x:c>
      <x:c r="M27" s="4" t="s">
        <x:v>206</x:v>
      </x:c>
      <x:c r="N27" s="10" t="s">
        <x:v>207</x:v>
      </x:c>
      <x:c r="O27" s="10" t="s">
        <x:v>208</x:v>
      </x:c>
      <x:c r="P27" s="23" t="s">
        <x:v>209</x:v>
      </x:c>
      <x:c r="Q27" s="10"/>
      <x:c r="R27" s="23"/>
      <x:c r="S27" s="10"/>
      <x:c r="T27" s="10"/>
      <x:c r="U27" s="23"/>
      <x:c r="X27" s="257" t="str">
        <x:v>History / Level</x:v>
      </x:c>
      <x:c r="Y27" s="257"/>
      <x:c r="Z27" s="257"/>
      <x:c r="AA27" s="257"/>
      <x:c r="AB27" s="257"/>
      <x:c r="AC27" s="257"/>
      <x:c r="AD27" s="257"/>
      <x:c r="AE27" s="257"/>
      <x:c r="AF27" s="257"/>
      <x:c r="AG27" s="257"/>
      <x:c r="AH27" s="257"/>
    </x:row>
    <x:row r="28" s="12" customFormat="1" ht="95" customHeight="1">
      <x:c r="A28" s="65"/>
      <x:c r="B28" s="122"/>
      <x:c r="C28" s="66"/>
      <x:c r="D28" s="61"/>
      <x:c r="E28" s="1"/>
      <x:c r="F28" s="61"/>
      <x:c r="G28" s="10" t="s">
        <x:v>210</x:v>
      </x:c>
      <x:c r="H28" s="76"/>
      <x:c r="I28" s="4" t="s">
        <x:v>211</x:v>
      </x:c>
      <x:c r="J28" s="10" t="s">
        <x:v>212</x:v>
      </x:c>
      <x:c r="K28" s="15"/>
      <x:c r="L28" s="52" t="s">
        <x:v>213</x:v>
      </x:c>
      <x:c r="M28" s="52" t="s">
        <x:v>214</x:v>
      </x:c>
      <x:c r="N28" s="10" t="s">
        <x:v>215</x:v>
      </x:c>
      <x:c r="O28" s="10" t="s">
        <x:v>216</x:v>
      </x:c>
      <x:c r="P28" s="23" t="s">
        <x:v>46</x:v>
      </x:c>
      <x:c r="Q28" s="10" t="s">
        <x:v>38</x:v>
      </x:c>
      <x:c r="R28" s="23" t="s">
        <x:v>39</x:v>
      </x:c>
      <x:c r="S28" s="10" t="s">
        <x:v>133</x:v>
      </x:c>
      <x:c r="T28" s="10" t="s">
        <x:v>217</x:v>
      </x:c>
      <x:c r="U28" s="23" t="s">
        <x:v>218</x:v>
      </x:c>
      <x:c r="X28" s="257" t="str">
        <x:v>传导因子 / Level</x:v>
      </x:c>
      <x:c r="Y28" s="257"/>
      <x:c r="Z28" s="257"/>
      <x:c r="AA28" s="257"/>
      <x:c r="AB28" s="257"/>
      <x:c r="AC28" s="257"/>
      <x:c r="AD28" s="257"/>
      <x:c r="AE28" s="257"/>
      <x:c r="AF28" s="257"/>
      <x:c r="AG28" s="257"/>
      <x:c r="AH28" s="257"/>
    </x:row>
    <x:row r="29" s="12" customFormat="1" ht="92" customHeight="1">
      <x:c r="A29" s="65"/>
      <x:c r="B29" s="122"/>
      <x:c r="C29" s="66"/>
      <x:c r="D29" s="61"/>
      <x:c r="E29" s="1"/>
      <x:c r="F29" s="61"/>
      <x:c r="G29" s="10" t="s">
        <x:v>219</x:v>
      </x:c>
      <x:c r="H29" s="76"/>
      <x:c r="I29" s="4" t="s">
        <x:v>220</x:v>
      </x:c>
      <x:c r="J29" s="10" t="s">
        <x:v>221</x:v>
      </x:c>
      <x:c r="K29" s="15"/>
      <x:c r="L29" s="62"/>
      <x:c r="M29" s="62"/>
      <x:c r="N29" s="10" t="s">
        <x:v>222</x:v>
      </x:c>
      <x:c r="O29" s="10" t="s">
        <x:v>36</x:v>
      </x:c>
      <x:c r="P29" s="23" t="s">
        <x:v>223</x:v>
      </x:c>
      <x:c r="Q29" s="10" t="s">
        <x:v>38</x:v>
      </x:c>
      <x:c r="R29" s="23" t="s">
        <x:v>39</x:v>
      </x:c>
      <x:c r="S29" s="10" t="s">
        <x:v>224</x:v>
      </x:c>
      <x:c r="T29" s="10" t="s">
        <x:v>225</x:v>
      </x:c>
      <x:c r="U29" s="23" t="s">
        <x:v>226</x:v>
      </x:c>
      <x:c r="X29" s="257" t="str">
        <x:v>传导因子 / Level</x:v>
      </x:c>
      <x:c r="Y29" s="257"/>
      <x:c r="Z29" s="257"/>
      <x:c r="AA29" s="257"/>
      <x:c r="AB29" s="257"/>
      <x:c r="AC29" s="257"/>
      <x:c r="AD29" s="257"/>
      <x:c r="AE29" s="257"/>
      <x:c r="AF29" s="257"/>
      <x:c r="AG29" s="257"/>
      <x:c r="AH29" s="257"/>
    </x:row>
    <x:row r="30" s="12" customFormat="1" ht="80" customHeight="1">
      <x:c r="A30" s="65"/>
      <x:c r="B30" s="122"/>
      <x:c r="C30" s="66"/>
      <x:c r="D30" s="52" t="s">
        <x:v>227</x:v>
      </x:c>
      <x:c r="E30" s="58" t="s">
        <x:v>228</x:v>
      </x:c>
      <x:c r="F30" s="4" t="s">
        <x:v>229</x:v>
      </x:c>
      <x:c r="G30" s="10" t="s">
        <x:v>230</x:v>
      </x:c>
      <x:c r="H30" s="52" t="s">
        <x:v>31</x:v>
      </x:c>
      <x:c r="I30" s="60" t="s">
        <x:v>32</x:v>
      </x:c>
      <x:c r="J30" s="10" t="s">
        <x:v>231</x:v>
      </x:c>
      <x:c r="K30" s="15">
        <x:v>5.5E-2</x:v>
      </x:c>
      <x:c r="L30" s="2" t="s">
        <x:v>34</x:v>
      </x:c>
      <x:c r="M30" s="2" t="s">
        <x:v>34</x:v>
      </x:c>
      <x:c r="N30" s="10" t="s">
        <x:v>232</x:v>
      </x:c>
      <x:c r="O30" s="10" t="s">
        <x:v>36</x:v>
      </x:c>
      <x:c r="P30" s="23" t="s">
        <x:v>233</x:v>
      </x:c>
      <x:c r="Q30" s="10" t="s">
        <x:v>38</x:v>
      </x:c>
      <x:c r="R30" s="23" t="s">
        <x:v>60</x:v>
      </x:c>
      <x:c r="S30" s="38" t="s">
        <x:v>234</x:v>
      </x:c>
      <x:c r="T30" s="10" t="s">
        <x:v>235</x:v>
      </x:c>
      <x:c r="U30" s="23" t="s">
        <x:v>236</x:v>
      </x:c>
      <x:c r="V30" s="12" t="s">
        <x:v>237</x:v>
      </x:c>
      <x:c r="X30" s="257" t="str">
        <x:v>Level</x:v>
      </x:c>
      <x:c r="Y30" s="257"/>
      <x:c r="Z30" s="259" t="str">
        <x:v>近10年灾害频率/损失及水文偏离趋势</x:v>
      </x:c>
      <x:c r="AA30" s="259" t="str">
        <x:v>统计重大灾害频次、经济损失及水电项目来水偏离设计值的长期趋势。</x:v>
      </x:c>
      <x:c r="AB30" s="259" t="str">
        <x:v>未来季度极端天气/水文异常预测</x:v>
      </x:c>
      <x:c r="AC30" s="259" t="str">
        <x:v>使用项目所在地气象、水文预警而非仅国家平均。</x:v>
      </x:c>
      <x:c r="AD30" s="259" t="str">
        <x:v>L=45%×Level+30%×Trend+25%×Event</x:v>
      </x:c>
      <x:c r="AE30" s="259" t="str">
        <x:v>资产受灾、停工、未保险损失、发电量损失</x:v>
      </x:c>
      <x:c r="AF30" s="259" t="str">
        <x:v>预计损失=资产损失+停运收入损失+修复成本-保险可赔金额；水电可用来水偏差×发电量敏感度×电价估算。</x:v>
      </x:c>
      <x:c r="AG30" s="259" t="str">
        <x:v>项目所在地出现红色灾害预警或关键资产位于高暴露区时，Impact至少4级。</x:v>
      </x:c>
      <x:c r="AH30" s="259" t="str">
        <x:v>Impact应尽量定位到项目所在地而非国家层面。</x:v>
      </x:c>
    </x:row>
    <x:row r="31" s="12" customFormat="1" ht="80" customHeight="1">
      <x:c r="A31" s="65"/>
      <x:c r="B31" s="122"/>
      <x:c r="C31" s="66"/>
      <x:c r="D31" s="76"/>
      <x:c r="E31" s="59"/>
      <x:c r="F31" s="4" t="s">
        <x:v>238</x:v>
      </x:c>
      <x:c r="G31" s="10" t="s">
        <x:v>239</x:v>
      </x:c>
      <x:c r="H31" s="76"/>
      <x:c r="I31" s="61"/>
      <x:c r="J31" s="10" t="s">
        <x:v>240</x:v>
      </x:c>
      <x:c r="K31" s="15">
        <x:v>5.5E-2</x:v>
      </x:c>
      <x:c r="L31" s="2" t="s">
        <x:v>34</x:v>
      </x:c>
      <x:c r="M31" s="2" t="s">
        <x:v>34</x:v>
      </x:c>
      <x:c r="N31" s="21" t="s">
        <x:v>241</x:v>
      </x:c>
      <x:c r="O31" s="21" t="s">
        <x:v>242</x:v>
      </x:c>
      <x:c r="P31" s="21" t="s">
        <x:v>243</x:v>
      </x:c>
      <x:c r="Q31" s="21" t="s">
        <x:v>68</x:v>
      </x:c>
      <x:c r="R31" s="21" t="s">
        <x:v>60</x:v>
      </x:c>
      <x:c r="S31" s="21" t="s">
        <x:v>244</x:v>
      </x:c>
      <x:c r="T31" s="21" t="s">
        <x:v>245</x:v>
      </x:c>
      <x:c r="U31" s="21" t="s">
        <x:v>246</x:v>
      </x:c>
      <x:c r="V31" s="16" t="s">
        <x:v>247</x:v>
      </x:c>
      <x:c r="X31" s="257" t="str">
        <x:v>Level</x:v>
      </x:c>
      <x:c r="Y31" s="257"/>
      <x:c r="Z31" s="259" t="str">
        <x:v>食品/能源进口依赖度3年变化及库存水平趋势</x:v>
      </x:c>
      <x:c r="AA31" s="259" t="str">
        <x:v>观察进口依赖率上升幅度、库存/储备天数下降趋势。</x:v>
      </x:c>
      <x:c r="AB31" s="259" t="str">
        <x:v>主要供应国出口限制或国际价格异常上涨</x:v>
      </x:c>
      <x:c r="AC31" s="259" t="str">
        <x:v>发生重大出口禁令、供应中断或价格飙升时提高Event。</x:v>
      </x:c>
      <x:c r="AD31" s="259" t="str">
        <x:v>L=50%×Level+25%×Trend+25%×Event</x:v>
      </x:c>
      <x:c r="AE31" s="259" t="str">
        <x:v>燃料/运营成本、外币支付需求、供应中断</x:v>
      </x:c>
      <x:c r="AF31" s="259" t="str">
        <x:v>I按新增燃料/物资成本占EBITDA比例+预计供应中断天数综合评分。</x:v>
      </x:c>
      <x:c r="AG31" s="259" t="str">
        <x:v>关键燃料无法获得且无替代供应时，Impact=5。</x:v>
      </x:c>
      <x:c r="AH31" s="259" t="str">
        <x:v>将进口依赖的结构性脆弱性与短期供应冲击区分。</x:v>
      </x:c>
    </x:row>
    <x:row r="32" s="12" customFormat="1" ht="80" customHeight="1">
      <x:c r="A32" s="65"/>
      <x:c r="B32" s="122"/>
      <x:c r="C32" s="66"/>
      <x:c r="D32" s="61"/>
      <x:c r="E32" s="1"/>
      <x:c r="F32" s="4" t="s">
        <x:v>248</x:v>
      </x:c>
      <x:c r="G32" s="10" t="s">
        <x:v>249</x:v>
      </x:c>
      <x:c r="H32" s="76"/>
      <x:c r="I32" s="61"/>
      <x:c r="J32" s="10" t="s">
        <x:v>250</x:v>
      </x:c>
      <x:c r="K32" s="15"/>
      <x:c r="L32" s="2" t="s">
        <x:v>34</x:v>
      </x:c>
      <x:c r="M32" s="2" t="s">
        <x:v>34</x:v>
      </x:c>
      <x:c r="N32" s="10" t="s">
        <x:v>251</x:v>
      </x:c>
      <x:c r="O32" s="10" t="s">
        <x:v>36</x:v>
      </x:c>
      <x:c r="P32" s="23" t="s">
        <x:v>252</x:v>
      </x:c>
      <x:c r="Q32" s="10" t="s">
        <x:v>38</x:v>
      </x:c>
      <x:c r="R32" s="23" t="s">
        <x:v>60</x:v>
      </x:c>
      <x:c r="S32" s="10" t="s">
        <x:v>253</x:v>
      </x:c>
      <x:c r="T32" s="10" t="s">
        <x:v>254</x:v>
      </x:c>
      <x:c r="U32" s="23" t="s">
        <x:v>255</x:v>
      </x:c>
      <x:c r="V32" s="16"/>
      <x:c r="X32" s="257" t="str">
        <x:v>Level（韧性指标）</x:v>
      </x:c>
      <x:c r="Y32" s="257"/>
      <x:c r="Z32" s="259" t="str">
        <x:v>近4–8周病例/公共卫生事件增速</x:v>
      </x:c>
      <x:c r="AA32" s="259" t="str">
        <x:v>病例、住院或重大公共卫生事件周环比/同比变化。</x:v>
      </x:c>
      <x:c r="AB32" s="259" t="str">
        <x:v>WHO/属地卫生部门重大预警或邻国疫情快速扩散</x:v>
      </x:c>
      <x:c r="AC32" s="259" t="str">
        <x:v>出现国际/属地高级别预警时上调Event。</x:v>
      </x:c>
      <x:c r="AD32" s="259" t="str">
        <x:v>L=45%×Level+25%×Trend+30%×Event</x:v>
      </x:c>
      <x:c r="AE32" s="259" t="str">
        <x:v>现场人员依赖、停工、供应链中断、防疫支出</x:v>
      </x:c>
      <x:c r="AF32" s="259" t="str">
        <x:v>I=40%×现场运营受限程度+30%×供应链中断时间+30%×新增防疫及人员保障成本占EBITDA比例。</x:v>
      </x:c>
      <x:c r="AG32" s="259" t="str">
        <x:v>政府实施全国性停工/封控且项目无法远程运营时，Impact至少4级。</x:v>
      </x:c>
      <x:c r="AH32" s="259" t="str">
        <x:v>GHS反映韧性，不足以单独判断短期疫情发生概率。</x:v>
      </x:c>
    </x:row>
    <x:row r="33" s="12" customFormat="1" ht="80" customHeight="1">
      <x:c r="A33" s="65"/>
      <x:c r="B33" s="122"/>
      <x:c r="C33" s="66"/>
      <x:c r="D33" s="61"/>
      <x:c r="E33" s="1"/>
      <x:c r="F33" s="52" t="s">
        <x:v>256</x:v>
      </x:c>
      <x:c r="G33" s="55" t="s">
        <x:v>257</x:v>
      </x:c>
      <x:c r="H33" s="76"/>
      <x:c r="I33" s="61"/>
      <x:c r="J33" s="55" t="s">
        <x:v>258</x:v>
      </x:c>
      <x:c r="K33" s="15"/>
      <x:c r="L33" s="2" t="s">
        <x:v>34</x:v>
      </x:c>
      <x:c r="M33" s="2" t="s">
        <x:v>34</x:v>
      </x:c>
      <x:c r="N33" s="21" t="s">
        <x:v>259</x:v>
      </x:c>
      <x:c r="O33" s="21" t="s">
        <x:v>260</x:v>
      </x:c>
      <x:c r="P33" s="21" t="s">
        <x:v>261</x:v>
      </x:c>
      <x:c r="Q33" s="21" t="s">
        <x:v>38</x:v>
      </x:c>
      <x:c r="R33" s="21" t="s">
        <x:v>60</x:v>
      </x:c>
      <x:c r="S33" s="21" t="s">
        <x:v>262</x:v>
      </x:c>
      <x:c r="T33" s="21" t="s">
        <x:v>263</x:v>
      </x:c>
      <x:c r="U33" s="21" t="s">
        <x:v>264</x:v>
      </x:c>
      <x:c r="V33" s="16"/>
      <x:c r="X33" s="257" t="str">
        <x:v>Level</x:v>
      </x:c>
      <x:c r="Y33" s="257"/>
      <x:c r="Z33" s="259" t="str">
        <x:v>近12个月暴力犯罪/绑架事件同比变化</x:v>
      </x:c>
      <x:c r="AA33" s="259" t="str">
        <x:v>重点统计项目所在地暴力犯罪、绑架、勒索事件变化。</x:v>
      </x:c>
      <x:c r="AB33" s="259" t="str">
        <x:v>重大社会骚乱、针对外资/中资人员的集中犯罪事件</x:v>
      </x:c>
      <x:c r="AC33" s="259" t="str">
        <x:v>出现针对项目人员的明确安全威胁时提高Event。</x:v>
      </x:c>
      <x:c r="AD33" s="259" t="str">
        <x:v>L=50%×Level+30%×Trend+20%×Event</x:v>
      </x:c>
      <x:c r="AE33" s="259" t="str">
        <x:v>高风险地区人员、资产、安全撤离及安保成本</x:v>
      </x:c>
      <x:c r="AF33" s="259" t="str">
        <x:v>I按项目所在地人员数量、关键资产价值、安保/撤离成本及潜在停工损失综合评分。</x:v>
      </x:c>
      <x:c r="AG33" s="259" t="str">
        <x:v>出现针对中资项目的绑架/袭击或红色治安预警时，Likelihood至少4级。</x:v>
      </x:c>
      <x:c r="AH33" s="259" t="str">
        <x:v>从国家治安平均水平进一步定位到项目所在地。</x:v>
      </x:c>
    </x:row>
    <x:row r="34" s="12" customFormat="1" ht="86" customHeight="1">
      <x:c r="A34" s="65"/>
      <x:c r="B34" s="122"/>
      <x:c r="C34" s="66"/>
      <x:c r="D34" s="53"/>
      <x:c r="E34" s="1"/>
      <x:c r="F34" s="53"/>
      <x:c r="G34" s="56"/>
      <x:c r="H34" s="76"/>
      <x:c r="I34" s="61"/>
      <x:c r="J34" s="56"/>
      <x:c r="K34" s="15"/>
      <x:c r="L34" s="2"/>
      <x:c r="M34" s="2"/>
      <x:c r="N34" s="10" t="s">
        <x:v>265</x:v>
      </x:c>
      <x:c r="O34" s="23" t="s">
        <x:v>36</x:v>
      </x:c>
      <x:c r="P34" s="23" t="s">
        <x:v>266</x:v>
      </x:c>
      <x:c r="Q34" s="10" t="s">
        <x:v>38</x:v>
      </x:c>
      <x:c r="R34" s="23" t="s">
        <x:v>39</x:v>
      </x:c>
      <x:c r="S34" s="10" t="s">
        <x:v>267</x:v>
      </x:c>
      <x:c r="T34" s="10" t="s">
        <x:v>268</x:v>
      </x:c>
      <x:c r="U34" s="23" t="s">
        <x:v>269</x:v>
      </x:c>
      <x:c r="V34" s="16"/>
      <x:c r="X34" s="257" t="str">
        <x:v>Level / Event</x:v>
      </x:c>
      <x:c r="Y34" s="257"/>
      <x:c r="Z34" s="257"/>
      <x:c r="AA34" s="257"/>
      <x:c r="AB34" s="257"/>
      <x:c r="AC34" s="257"/>
      <x:c r="AD34" s="257"/>
      <x:c r="AE34" s="257"/>
      <x:c r="AF34" s="257"/>
      <x:c r="AG34" s="257"/>
      <x:c r="AH34" s="257"/>
    </x:row>
    <x:row r="35" s="12" customFormat="1" ht="86" customHeight="1">
      <x:c r="A35" s="65"/>
      <x:c r="B35" s="122"/>
      <x:c r="C35" s="66"/>
      <x:c r="D35" s="54"/>
      <x:c r="E35" s="1"/>
      <x:c r="F35" s="54"/>
      <x:c r="G35" s="57"/>
      <x:c r="H35" s="76"/>
      <x:c r="I35" s="61"/>
      <x:c r="J35" s="57"/>
      <x:c r="K35" s="15"/>
      <x:c r="L35" s="2"/>
      <x:c r="M35" s="2"/>
      <x:c r="N35" s="10" t="s">
        <x:v>270</x:v>
      </x:c>
      <x:c r="O35" s="10" t="s">
        <x:v>271</x:v>
      </x:c>
      <x:c r="P35" s="23" t="s">
        <x:v>46</x:v>
      </x:c>
      <x:c r="Q35" s="10" t="s">
        <x:v>68</x:v>
      </x:c>
      <x:c r="R35" s="23" t="s">
        <x:v>39</x:v>
      </x:c>
      <x:c r="S35" s="10" t="s">
        <x:v>272</x:v>
      </x:c>
      <x:c r="T35" s="10" t="s">
        <x:v>273</x:v>
      </x:c>
      <x:c r="U35" s="23" t="s">
        <x:v>274</x:v>
      </x:c>
      <x:c r="V35" s="16"/>
      <x:c r="X35" s="257" t="str">
        <x:v>History / Event</x:v>
      </x:c>
      <x:c r="Y35" s="257"/>
      <x:c r="Z35" s="257"/>
      <x:c r="AA35" s="257"/>
      <x:c r="AB35" s="257"/>
      <x:c r="AC35" s="257"/>
      <x:c r="AD35" s="257"/>
      <x:c r="AE35" s="257"/>
      <x:c r="AF35" s="257"/>
      <x:c r="AG35" s="257"/>
      <x:c r="AH35" s="257"/>
    </x:row>
    <x:row r="36" s="12" customFormat="1" ht="80" customHeight="1">
      <x:c r="A36" s="65"/>
      <x:c r="B36" s="122"/>
      <x:c r="C36" s="66"/>
      <x:c r="D36" s="79" t="s">
        <x:v>275</x:v>
      </x:c>
      <x:c r="E36" s="1"/>
      <x:c r="F36" s="3" t="s">
        <x:v>276</x:v>
      </x:c>
      <x:c r="G36" s="23" t="s">
        <x:v>277</x:v>
      </x:c>
      <x:c r="H36" s="76"/>
      <x:c r="I36" s="53"/>
      <x:c r="J36" s="23" t="s">
        <x:v>278</x:v>
      </x:c>
      <x:c r="K36" s="15"/>
      <x:c r="L36" s="2" t="s">
        <x:v>34</x:v>
      </x:c>
      <x:c r="M36" s="2" t="s">
        <x:v>34</x:v>
      </x:c>
      <x:c r="N36" s="21" t="s">
        <x:v>279</x:v>
      </x:c>
      <x:c r="O36" s="21" t="s">
        <x:v>280</x:v>
      </x:c>
      <x:c r="P36" s="21" t="s">
        <x:v>281</x:v>
      </x:c>
      <x:c r="Q36" s="21" t="s">
        <x:v>68</x:v>
      </x:c>
      <x:c r="R36" s="21" t="s">
        <x:v>282</x:v>
      </x:c>
      <x:c r="S36" s="21" t="s">
        <x:v>283</x:v>
      </x:c>
      <x:c r="T36" s="21" t="s">
        <x:v>284</x:v>
      </x:c>
      <x:c r="U36" s="21" t="s">
        <x:v>285</x:v>
      </x:c>
      <x:c r="X36" s="257" t="str">
        <x:v>Level</x:v>
      </x:c>
      <x:c r="Y36" s="257"/>
      <x:c r="Z36" s="259" t="str">
        <x:v>近2–3次对华民调净好感变化</x:v>
      </x:c>
      <x:c r="AA36" s="259" t="str">
        <x:v>比较连续调查净好感度变化；持续下降提高Trend评分。</x:v>
      </x:c>
      <x:c r="AB36" s="259" t="str">
        <x:v>近90天中资负面舆情/抵制事件</x:v>
      </x:c>
      <x:c r="AC36" s="259" t="str">
        <x:v>重大抵制、抗议、媒体集中负面事件计入Event。</x:v>
      </x:c>
      <x:c r="AD36" s="259" t="str">
        <x:v>L=50%×Level+30%×Trend+20%×Event</x:v>
      </x:c>
      <x:c r="AE36" s="259" t="str">
        <x:v>面向消费者收入、社区/政府关系敏感度</x:v>
      </x:c>
      <x:c r="AF36" s="259" t="str">
        <x:v>I按中资品牌直接影响收入占比+社区/政府关系对项目运营依赖度综合评分。</x:v>
      </x:c>
      <x:c r="AG36" s="259" t="str">
        <x:v>出现持续性抵制并实际影响许可/运营时，Impact至少4级。</x:v>
      </x:c>
      <x:c r="AH36" s="259" t="str">
        <x:v>民调趋势比单一年度净好感度更能反映风险方向。</x:v>
      </x:c>
    </x:row>
    <x:row r="37" s="12" customFormat="1" ht="80" customHeight="1">
      <x:c r="A37" s="65"/>
      <x:c r="B37" s="122"/>
      <x:c r="C37" s="66"/>
      <x:c r="D37" s="76"/>
      <x:c r="E37" s="1"/>
      <x:c r="F37" s="3" t="s">
        <x:v>286</x:v>
      </x:c>
      <x:c r="G37" s="23" t="s">
        <x:v>287</x:v>
      </x:c>
      <x:c r="H37" s="76"/>
      <x:c r="I37" s="53"/>
      <x:c r="J37" s="23" t="s">
        <x:v>288</x:v>
      </x:c>
      <x:c r="K37" s="15"/>
      <x:c r="L37" s="2" t="s">
        <x:v>34</x:v>
      </x:c>
      <x:c r="M37" s="2" t="s">
        <x:v>34</x:v>
      </x:c>
      <x:c r="N37" s="21" t="s">
        <x:v>289</x:v>
      </x:c>
      <x:c r="O37" s="21" t="s">
        <x:v>290</x:v>
      </x:c>
      <x:c r="P37" s="21" t="s">
        <x:v>291</x:v>
      </x:c>
      <x:c r="Q37" s="21" t="s">
        <x:v>38</x:v>
      </x:c>
      <x:c r="R37" s="21" t="s">
        <x:v>60</x:v>
      </x:c>
      <x:c r="S37" s="21" t="s">
        <x:v>292</x:v>
      </x:c>
      <x:c r="T37" s="21" t="s">
        <x:v>293</x:v>
      </x:c>
      <x:c r="U37" s="21" t="s">
        <x:v>294</x:v>
      </x:c>
      <x:c r="X37" s="257" t="str">
        <x:v>Exposure / Level（结构性）</x:v>
      </x:c>
      <x:c r="Y37" s="257"/>
      <x:c r="Z37" s="259" t="str">
        <x:v>原则上不设置</x:v>
      </x:c>
      <x:c r="AA37" s="259" t="str">
        <x:v>语言能力为结构性暴露，可按年度更新即可。</x:v>
      </x:c>
      <x:c r="AB37" s="259" t="str">
        <x:v>原则上不设置</x:v>
      </x:c>
      <x:c r="AC37" s="259" t="str">
        <x:v>无。</x:v>
      </x:c>
      <x:c r="AD37" s="259" t="str">
        <x:v>L=100%×Level（或作为Exposure直接纳入Impact）</x:v>
      </x:c>
      <x:c r="AE37" s="259" t="str">
        <x:v>当地语言合同/监管文件比例、本地化专业人员覆盖</x:v>
      </x:c>
      <x:c r="AF37" s="259" t="str">
        <x:v>I按当地语言关键文件占比、翻译/本地专业人员覆盖缺口及历史办理错误/延误情况评分。</x:v>
      </x:c>
      <x:c r="AG37" s="259" t="str">
        <x:v>关键合同/监管文件无法准确理解且缺乏专业支持时，Impact不低于4级。</x:v>
      </x:c>
      <x:c r="AH37" s="259" t="str">
        <x:v>EF EPI更接近结构性Exposure，而非真正事件概率。</x:v>
      </x:c>
    </x:row>
    <x:row r="38" s="12" customFormat="1" ht="80" customHeight="1">
      <x:c r="A38" s="65"/>
      <x:c r="B38" s="122"/>
      <x:c r="C38" s="66"/>
      <x:c r="D38" s="108"/>
      <x:c r="E38" s="1"/>
      <x:c r="F38" s="3" t="s">
        <x:v>295</x:v>
      </x:c>
      <x:c r="G38" s="23" t="s">
        <x:v>296</x:v>
      </x:c>
      <x:c r="H38" s="108"/>
      <x:c r="I38" s="54"/>
      <x:c r="J38" s="23" t="s">
        <x:v>297</x:v>
      </x:c>
      <x:c r="K38" s="15"/>
      <x:c r="L38" s="2" t="s">
        <x:v>34</x:v>
      </x:c>
      <x:c r="M38" s="2" t="s">
        <x:v>34</x:v>
      </x:c>
      <x:c r="N38" s="21" t="s">
        <x:v>298</x:v>
      </x:c>
      <x:c r="O38" s="21" t="s">
        <x:v>299</x:v>
      </x:c>
      <x:c r="P38" s="21" t="s">
        <x:v>300</x:v>
      </x:c>
      <x:c r="Q38" s="21" t="s">
        <x:v>38</x:v>
      </x:c>
      <x:c r="R38" s="21" t="s">
        <x:v>60</x:v>
      </x:c>
      <x:c r="S38" s="21" t="s">
        <x:v>301</x:v>
      </x:c>
      <x:c r="T38" s="21" t="s">
        <x:v>302</x:v>
      </x:c>
      <x:c r="U38" s="21" t="s">
        <x:v>303</x:v>
      </x:c>
      <x:c r="X38" s="257" t="str">
        <x:v>Level</x:v>
      </x:c>
      <x:c r="Y38" s="257"/>
      <x:c r="Z38" s="259" t="str">
        <x:v>宗教社会敌对指数3年变化（可选）</x:v>
      </x:c>
      <x:c r="AA38" s="259" t="str">
        <x:v>SHI持续上升则提高Trend。</x:v>
      </x:c>
      <x:c r="AB38" s="259" t="str">
        <x:v>重大宗教冲突/节庆政策变化（可选）</x:v>
      </x:c>
      <x:c r="AC38" s="259" t="str">
        <x:v>仅在对项目经营有明确影响时计入。</x:v>
      </x:c>
      <x:c r="AD38" s="259" t="str">
        <x:v>L=70%×Level+30%×Trend</x:v>
      </x:c>
      <x:c r="AE38" s="259" t="str">
        <x:v>宗教规范影响业务天数、本地员工和经营安排暴露</x:v>
      </x:c>
      <x:c r="AF38" s="259" t="str">
        <x:v>I按受影响工作日、关键业务流程受限程度及替代安排成本评分。</x:v>
      </x:c>
      <x:c r="AG38" s="259" t="str">
        <x:v>无。</x:v>
      </x:c>
      <x:c r="AH38" s="259" t="str">
        <x:v>总体以结构性文化暴露为主，不宜过度复杂化。</x:v>
      </x:c>
    </x:row>
    <x:row r="39" s="12" customFormat="1" ht="80" customHeight="1">
      <x:c r="A39" s="65"/>
      <x:c r="B39" s="122"/>
      <x:c r="C39" s="66"/>
      <x:c r="D39" s="60" t="s">
        <x:v>304</x:v>
      </x:c>
      <x:c r="E39" s="58" t="s">
        <x:v>305</x:v>
      </x:c>
      <x:c r="F39" s="77" t="s">
        <x:v>306</x:v>
      </x:c>
      <x:c r="G39" s="55" t="s">
        <x:v>307</x:v>
      </x:c>
      <x:c r="H39" s="52" t="s">
        <x:v>308</x:v>
      </x:c>
      <x:c r="I39" s="105" t="s">
        <x:v>79</x:v>
      </x:c>
      <x:c r="J39" s="84" t="s">
        <x:v>309</x:v>
      </x:c>
      <x:c r="K39" s="75">
        <x:v>0.08</x:v>
      </x:c>
      <x:c r="L39" s="60" t="s">
        <x:v>34</x:v>
      </x:c>
      <x:c r="M39" s="60" t="s">
        <x:v>34</x:v>
      </x:c>
      <x:c r="N39" s="104" t="s">
        <x:v>310</x:v>
      </x:c>
      <x:c r="O39" s="104" t="s">
        <x:v>36</x:v>
      </x:c>
      <x:c r="P39" s="101" t="s">
        <x:v>46</x:v>
      </x:c>
      <x:c r="Q39" s="104" t="s">
        <x:v>38</x:v>
      </x:c>
      <x:c r="R39" s="101" t="s">
        <x:v>60</x:v>
      </x:c>
      <x:c r="S39" s="104" t="s">
        <x:v>311</x:v>
      </x:c>
      <x:c r="T39" s="104" t="s">
        <x:v>312</x:v>
      </x:c>
      <x:c r="U39" s="101" t="s">
        <x:v>313</x:v>
      </x:c>
      <x:c r="V39" s="12" t="s">
        <x:v>314</x:v>
      </x:c>
      <x:c r="X39" s="257" t="str">
        <x:v>建议替换：现指标仅反映网络安全能力</x:v>
      </x:c>
      <x:c r="Y39" s="257" t="str">
        <x:v>建议替换为“国家支持型/APT网络攻击历史及活跃度”；全球网络安全指数仅作辅助背景。</x:v>
      </x:c>
      <x:c r="Z39" s="259" t="str">
        <x:v>近12个月国家支持型/APT网络攻击数量变化</x:v>
      </x:c>
      <x:c r="AA39" s="259" t="str">
        <x:v>统计针对政府、能源、金融等关键基础设施的APT事件同比变化。</x:v>
      </x:c>
      <x:c r="AB39" s="259" t="str">
        <x:v>地缘政治冲突导致的网络攻击预警</x:v>
      </x:c>
      <x:c r="AC39" s="259" t="str">
        <x:v>国家级网络安全机构/行业预警发布时计入Event。</x:v>
      </x:c>
      <x:c r="AD39" s="259" t="str">
        <x:v>L=40%×Level+30%×Trend+30%×Event</x:v>
      </x:c>
      <x:c r="AE39" s="259" t="str">
        <x:v>敏感数据资产、核心系统联网、数据泄露损失</x:v>
      </x:c>
      <x:c r="AF39" s="259" t="str">
        <x:v>I按敏感数据重要性+核心系统受影响范围+潜在合规/商业损失综合评分。</x:v>
      </x:c>
      <x:c r="AG39" s="259" t="str">
        <x:v>发现针对本项目/集团的定向APT活动时，Likelihood至少4级。</x:v>
      </x:c>
      <x:c r="AH39" s="259" t="str">
        <x:v>建议将现有“全球网络安全指数”替换/弱化，国家网络安全能力弱不等于间谍活动概率高。</x:v>
      </x:c>
    </x:row>
    <x:row r="40" s="12" customFormat="1" ht="46.75" customHeight="1">
      <x:c r="A40" s="65"/>
      <x:c r="B40" s="122"/>
      <x:c r="C40" s="66"/>
      <x:c r="D40" s="61"/>
      <x:c r="E40" s="59"/>
      <x:c r="F40" s="78"/>
      <x:c r="G40" s="109"/>
      <x:c r="H40" s="76"/>
      <x:c r="I40" s="106"/>
      <x:c r="J40" s="85"/>
      <x:c r="K40" s="75"/>
      <x:c r="L40" s="53"/>
      <x:c r="M40" s="53"/>
      <x:c r="N40" s="102"/>
      <x:c r="O40" s="102"/>
      <x:c r="P40" s="102"/>
      <x:c r="Q40" s="102"/>
      <x:c r="R40" s="102"/>
      <x:c r="S40" s="102"/>
      <x:c r="T40" s="102"/>
      <x:c r="U40" s="102"/>
      <x:c r="X40" s="257"/>
      <x:c r="Y40" s="257"/>
      <x:c r="Z40" s="257"/>
      <x:c r="AA40" s="257"/>
      <x:c r="AB40" s="257"/>
      <x:c r="AC40" s="257"/>
      <x:c r="AD40" s="257"/>
      <x:c r="AE40" s="257"/>
      <x:c r="AF40" s="257"/>
      <x:c r="AG40" s="257"/>
      <x:c r="AH40" s="257"/>
    </x:row>
    <x:row r="41" s="12" customFormat="1" ht="26" customHeight="1">
      <x:c r="A41" s="65"/>
      <x:c r="B41" s="122"/>
      <x:c r="C41" s="66"/>
      <x:c r="D41" s="61"/>
      <x:c r="E41" s="59"/>
      <x:c r="F41" s="78"/>
      <x:c r="G41" s="109"/>
      <x:c r="H41" s="76"/>
      <x:c r="I41" s="106"/>
      <x:c r="J41" s="85"/>
      <x:c r="K41" s="75"/>
      <x:c r="L41" s="54"/>
      <x:c r="M41" s="54"/>
      <x:c r="N41" s="103"/>
      <x:c r="O41" s="103"/>
      <x:c r="P41" s="103"/>
      <x:c r="Q41" s="103"/>
      <x:c r="R41" s="103"/>
      <x:c r="S41" s="103"/>
      <x:c r="T41" s="103"/>
      <x:c r="U41" s="103"/>
      <x:c r="X41" s="257"/>
      <x:c r="Y41" s="257"/>
      <x:c r="Z41" s="257"/>
      <x:c r="AA41" s="257"/>
      <x:c r="AB41" s="257"/>
      <x:c r="AC41" s="257"/>
      <x:c r="AD41" s="257"/>
      <x:c r="AE41" s="257"/>
      <x:c r="AF41" s="257"/>
      <x:c r="AG41" s="257"/>
      <x:c r="AH41" s="257"/>
    </x:row>
    <x:row r="42" s="12" customFormat="1" ht="80" customHeight="1">
      <x:c r="A42" s="65"/>
      <x:c r="B42" s="122"/>
      <x:c r="C42" s="66"/>
      <x:c r="D42" s="61"/>
      <x:c r="E42" s="1"/>
      <x:c r="F42" s="3" t="s">
        <x:v>315</x:v>
      </x:c>
      <x:c r="G42" s="109"/>
      <x:c r="H42" s="76"/>
      <x:c r="I42" s="106"/>
      <x:c r="J42" s="23" t="s">
        <x:v>316</x:v>
      </x:c>
      <x:c r="K42" s="15"/>
      <x:c r="L42" s="2" t="s">
        <x:v>34</x:v>
      </x:c>
      <x:c r="M42" s="2" t="s">
        <x:v>34</x:v>
      </x:c>
      <x:c r="N42" s="7" t="s">
        <x:v>317</x:v>
      </x:c>
      <x:c r="O42" s="7" t="s">
        <x:v>318</x:v>
      </x:c>
      <x:c r="P42" s="9" t="s">
        <x:v>46</x:v>
      </x:c>
      <x:c r="Q42" s="7" t="s">
        <x:v>38</x:v>
      </x:c>
      <x:c r="R42" s="9" t="s">
        <x:v>39</x:v>
      </x:c>
      <x:c r="S42" s="7" t="s">
        <x:v>319</x:v>
      </x:c>
      <x:c r="T42" s="7" t="s">
        <x:v>320</x:v>
      </x:c>
      <x:c r="U42" s="9" t="s">
        <x:v>321</x:v>
      </x:c>
      <x:c r="X42" s="257" t="str">
        <x:v>Level / History</x:v>
      </x:c>
      <x:c r="Y42" s="257"/>
      <x:c r="Z42" s="259" t="str">
        <x:v>近12个月勒索攻击事件同比增幅</x:v>
      </x:c>
      <x:c r="AA42" s="259" t="str">
        <x:v>比较近12个月与前12个月事件数，特别关注能源行业。</x:v>
      </x:c>
      <x:c r="AB42" s="259" t="str">
        <x:v>活跃勒索组织针对能源/金融基础设施预警</x:v>
      </x:c>
      <x:c r="AC42" s="259" t="str">
        <x:v>出现针对同类企业/地区的集中攻击时提高Event。</x:v>
      </x:c>
      <x:c r="AD42" s="259" t="str">
        <x:v>L=50%×Level+30%×Trend+20%×Event</x:v>
      </x:c>
      <x:c r="AE42" s="259" t="str">
        <x:v>核心系统停机、数据恢复、赎金/处置支出</x:v>
      </x:c>
      <x:c r="AF42" s="259" t="str">
        <x:v>预计损失=系统停机时长×单位时间损失+数据恢复成本+事件响应/潜在赎金等支出。</x:v>
      </x:c>
      <x:c r="AG42" s="259" t="str">
        <x:v>核心支付/生产系统被攻陷时，Impact=5。</x:v>
      </x:c>
      <x:c r="AH42" s="259" t="str">
        <x:v>现有案发水平可保留为Level/History。</x:v>
      </x:c>
    </x:row>
    <x:row r="43" s="12" customFormat="1" ht="80" customHeight="1">
      <x:c r="A43" s="65"/>
      <x:c r="B43" s="122"/>
      <x:c r="C43" s="66"/>
      <x:c r="D43" s="62"/>
      <x:c r="E43" s="1"/>
      <x:c r="F43" s="3" t="s">
        <x:v>322</x:v>
      </x:c>
      <x:c r="G43" s="110"/>
      <x:c r="H43" s="108"/>
      <x:c r="I43" s="106"/>
      <x:c r="J43" s="23" t="s">
        <x:v>323</x:v>
      </x:c>
      <x:c r="K43" s="15"/>
      <x:c r="L43" s="2" t="s">
        <x:v>34</x:v>
      </x:c>
      <x:c r="M43" s="2" t="s">
        <x:v>34</x:v>
      </x:c>
      <x:c r="N43" s="7" t="s">
        <x:v>324</x:v>
      </x:c>
      <x:c r="O43" s="7" t="s">
        <x:v>325</x:v>
      </x:c>
      <x:c r="P43" s="9" t="s">
        <x:v>46</x:v>
      </x:c>
      <x:c r="Q43" s="7" t="s">
        <x:v>38</x:v>
      </x:c>
      <x:c r="R43" s="9" t="s">
        <x:v>39</x:v>
      </x:c>
      <x:c r="S43" s="7" t="s">
        <x:v>326</x:v>
      </x:c>
      <x:c r="T43" s="7" t="s">
        <x:v>327</x:v>
      </x:c>
      <x:c r="U43" s="9" t="s">
        <x:v>328</x:v>
      </x:c>
      <x:c r="X43" s="257" t="str">
        <x:v>Level / History</x:v>
      </x:c>
      <x:c r="Y43" s="257"/>
      <x:c r="Z43" s="259" t="str">
        <x:v>近12个月数据泄露事件同比增幅</x:v>
      </x:c>
      <x:c r="AA43" s="259" t="str">
        <x:v>比较涉能源、金融支付领域泄露事件变化。</x:v>
      </x:c>
      <x:c r="AB43" s="259" t="str">
        <x:v>近期针对能源行业的供应链/零日漏洞重大事件</x:v>
      </x:c>
      <x:c r="AC43" s="259" t="str">
        <x:v>存在高危漏洞或同类机构集中泄露时提高Event。</x:v>
      </x:c>
      <x:c r="AD43" s="259" t="str">
        <x:v>L=50%×Level+30%×Trend+20%×Event</x:v>
      </x:c>
      <x:c r="AE43" s="259" t="str">
        <x:v>敏感数据量、处罚、恢复和商业损失</x:v>
      </x:c>
      <x:c r="AF43" s="259" t="str">
        <x:v>预计损失=监管处罚+事件响应/恢复成本+潜在业务中断及商业损失；按损失/EBITDA映射评分。</x:v>
      </x:c>
      <x:c r="AG43" s="259" t="str">
        <x:v>涉及核心财资账户/大规模个人敏感数据泄露时，Impact至少4级。</x:v>
      </x:c>
      <x:c r="AH43" s="259" t="str">
        <x:v>与网络勒索区分：本风险核心后果是数据与合规损失。</x:v>
      </x:c>
    </x:row>
    <x:row r="44" s="12" customFormat="1" ht="80" customHeight="1">
      <x:c r="A44" s="65"/>
      <x:c r="B44" s="122"/>
      <x:c r="C44" s="67"/>
      <x:c r="D44" s="60" t="s">
        <x:v>329</x:v>
      </x:c>
      <x:c r="E44" s="11" t="s">
        <x:v>330</x:v>
      </x:c>
      <x:c r="F44" s="4" t="s">
        <x:v>331</x:v>
      </x:c>
      <x:c r="G44" s="25" t="s">
        <x:v>332</x:v>
      </x:c>
      <x:c r="H44" s="52" t="s">
        <x:v>182</x:v>
      </x:c>
      <x:c r="I44" s="106"/>
      <x:c r="J44" s="10" t="s">
        <x:v>333</x:v>
      </x:c>
      <x:c r="K44" s="15">
        <x:v>5.5E-2</x:v>
      </x:c>
      <x:c r="L44" s="6" t="s">
        <x:v>34</x:v>
      </x:c>
      <x:c r="M44" s="6" t="s">
        <x:v>34</x:v>
      </x:c>
      <x:c r="N44" s="21" t="s">
        <x:v>334</x:v>
      </x:c>
      <x:c r="O44" s="21" t="s">
        <x:v>335</x:v>
      </x:c>
      <x:c r="P44" s="21" t="s">
        <x:v>336</x:v>
      </x:c>
      <x:c r="Q44" s="21" t="s">
        <x:v>38</x:v>
      </x:c>
      <x:c r="R44" s="21" t="s">
        <x:v>60</x:v>
      </x:c>
      <x:c r="S44" s="21" t="s">
        <x:v>337</x:v>
      </x:c>
      <x:c r="T44" s="21" t="s">
        <x:v>338</x:v>
      </x:c>
      <x:c r="U44" s="21" t="s">
        <x:v>339</x:v>
      </x:c>
      <x:c r="V44" s="12" t="s">
        <x:v>340</x:v>
      </x:c>
      <x:c r="X44" s="257" t="str">
        <x:v>Level</x:v>
      </x:c>
      <x:c r="Y44" s="257"/>
      <x:c r="Z44" s="259" t="str">
        <x:v>WGI控制腐败3年变化</x:v>
      </x:c>
      <x:c r="AA44" s="259" t="str">
        <x:v>当期百分位－3年前百分位；下降越多风险越高。</x:v>
      </x:c>
      <x:c r="AB44" s="259" t="str">
        <x:v>原则上不强制设置</x:v>
      </x:c>
      <x:c r="AC44" s="259" t="str">
        <x:v>重大反腐运动或政商关系突变可作为补充事件。</x:v>
      </x:c>
      <x:c r="AD44" s="259" t="str">
        <x:v>L=70%×Level+30%×Trend</x:v>
      </x:c>
      <x:c r="AE44" s="259" t="str">
        <x:v>政府审批依赖、公共采购/合同、高风险第三方支付</x:v>
      </x:c>
      <x:c r="AF44" s="259" t="str">
        <x:v>I按政府接触频次、公共合同金额占比、高风险中介/第三方支付金额占比综合评分。</x:v>
      </x:c>
      <x:c r="AG44" s="259" t="str">
        <x:v>出现索贿且涉及关键许可/合同续期时，Impact不低于4级。</x:v>
      </x:c>
      <x:c r="AH44" s="259" t="str">
        <x:v>腐败是结构性环境风险，Trend比Event更重要。</x:v>
      </x:c>
    </x:row>
    <x:row r="45" s="12" customFormat="1" ht="80" customHeight="1">
      <x:c r="A45" s="17"/>
      <x:c r="B45" s="122"/>
      <x:c r="C45" s="5"/>
      <x:c r="D45" s="61"/>
      <x:c r="E45" s="20"/>
      <x:c r="F45" s="111" t="s">
        <x:v>341</x:v>
      </x:c>
      <x:c r="G45" s="80" t="s">
        <x:v>342</x:v>
      </x:c>
      <x:c r="H45" s="76"/>
      <x:c r="I45" s="106"/>
      <x:c r="J45" s="116" t="s">
        <x:v>343</x:v>
      </x:c>
      <x:c r="K45" s="15"/>
      <x:c r="L45" s="20"/>
      <x:c r="M45" s="113" t="s">
        <x:v>34</x:v>
      </x:c>
      <x:c r="N45" s="7" t="s">
        <x:v>344</x:v>
      </x:c>
      <x:c r="O45" s="7" t="s">
        <x:v>345</x:v>
      </x:c>
      <x:c r="P45" s="9" t="s">
        <x:v>46</x:v>
      </x:c>
      <x:c r="Q45" s="7" t="s">
        <x:v>38</x:v>
      </x:c>
      <x:c r="R45" s="9" t="s">
        <x:v>39</x:v>
      </x:c>
      <x:c r="S45" s="7" t="s">
        <x:v>326</x:v>
      </x:c>
      <x:c r="T45" s="7" t="s">
        <x:v>346</x:v>
      </x:c>
      <x:c r="U45" s="9" t="s">
        <x:v>347</x:v>
      </x:c>
      <x:c r="X45" s="257" t="str">
        <x:v>Level / History</x:v>
      </x:c>
      <x:c r="Y45" s="257"/>
      <x:c r="Z45" s="259" t="str">
        <x:v>近12个月金融欺诈/诈骗案件增长率</x:v>
      </x:c>
      <x:c r="AA45" s="259" t="str">
        <x:v>案件数量及涉案金额同比变化。</x:v>
      </x:c>
      <x:c r="AB45" s="259" t="str">
        <x:v>针对中资/能源项目的新型诈骗或非法外汇事件</x:v>
      </x:c>
      <x:c r="AC45" s="259" t="str">
        <x:v>出现针对同类项目的新型诈骗模式时提高Event。</x:v>
      </x:c>
      <x:c r="AD45" s="259" t="str">
        <x:v>L=50%×Level+30%×Trend+20%×Event</x:v>
      </x:c>
      <x:c r="AE45" s="259" t="str">
        <x:v>高风险第三方付款、当地银行余额、可追回比例</x:v>
      </x:c>
      <x:c r="AF45" s="259" t="str">
        <x:v>I按高风险第三方付款金额+当地可暴露资金余额-预计可追回金额后的净损失占项目资产/EBITDA比例评分。</x:v>
      </x:c>
      <x:c r="AG45" s="259" t="str">
        <x:v>核心银行账户被冻结或重大诈骗已发生时，Impact至少4级。</x:v>
      </x:c>
      <x:c r="AH45" s="259" t="str">
        <x:v>FATF反映AML/CFT环境，应作为背景Level，不宜单独代表项目被骗概率。</x:v>
      </x:c>
    </x:row>
    <x:row r="46" s="12" customFormat="1" ht="63" customHeight="1">
      <x:c r="A46" s="17"/>
      <x:c r="B46" s="123"/>
      <x:c r="C46" s="5"/>
      <x:c r="D46" s="62"/>
      <x:c r="E46" s="20"/>
      <x:c r="F46" s="112"/>
      <x:c r="G46" s="115"/>
      <x:c r="H46" s="108"/>
      <x:c r="I46" s="107"/>
      <x:c r="J46" s="117"/>
      <x:c r="K46" s="15"/>
      <x:c r="L46" s="18" t="s">
        <x:v>34</x:v>
      </x:c>
      <x:c r="M46" s="114"/>
      <x:c r="N46" s="7" t="s">
        <x:v>348</x:v>
      </x:c>
      <x:c r="O46" s="7" t="s">
        <x:v>36</x:v>
      </x:c>
      <x:c r="P46" s="9" t="s">
        <x:v>349</x:v>
      </x:c>
      <x:c r="Q46" s="7" t="s">
        <x:v>38</x:v>
      </x:c>
      <x:c r="R46" s="9" t="s">
        <x:v>60</x:v>
      </x:c>
      <x:c r="S46" s="7" t="s">
        <x:v>350</x:v>
      </x:c>
      <x:c r="T46" s="7" t="s">
        <x:v>351</x:v>
      </x:c>
      <x:c r="U46" s="9" t="s">
        <x:v>352</x:v>
      </x:c>
      <x:c r="X46" s="257" t="str">
        <x:v>背景Level（AML/CFT环境）</x:v>
      </x:c>
      <x:c r="Y46" s="257"/>
      <x:c r="Z46" s="257"/>
      <x:c r="AA46" s="257"/>
      <x:c r="AB46" s="257"/>
      <x:c r="AC46" s="257"/>
      <x:c r="AD46" s="257"/>
      <x:c r="AE46" s="257"/>
      <x:c r="AF46" s="257"/>
      <x:c r="AG46" s="257"/>
      <x:c r="AH46" s="257"/>
    </x:row>
    <x:row r="47" ht="80" customHeight="1">
      <x:c r="B47" s="118"/>
      <x:c r="D47" s="92" t="s">
        <x:v>353</x:v>
      </x:c>
      <x:c r="E47" s="30"/>
      <x:c r="F47" s="31" t="s">
        <x:v>354</x:v>
      </x:c>
      <x:c r="G47" s="32" t="s">
        <x:v>355</x:v>
      </x:c>
      <x:c r="H47" s="47"/>
      <x:c r="I47" s="49"/>
      <x:c r="J47" s="32" t="s">
        <x:v>356</x:v>
      </x:c>
      <x:c r="L47" s="20" t="s">
        <x:v>34</x:v>
      </x:c>
      <x:c r="M47" s="20" t="s">
        <x:v>34</x:v>
      </x:c>
      <x:c r="N47" s="10" t="s">
        <x:v>357</x:v>
      </x:c>
      <x:c r="O47" s="10" t="s">
        <x:v>36</x:v>
      </x:c>
      <x:c r="P47" s="23" t="s">
        <x:v>358</x:v>
      </x:c>
      <x:c r="Q47" s="10" t="s">
        <x:v>38</x:v>
      </x:c>
      <x:c r="R47" s="23" t="s">
        <x:v>60</x:v>
      </x:c>
      <x:c r="S47" s="10" t="s">
        <x:v>40</x:v>
      </x:c>
      <x:c r="T47" s="10" t="s">
        <x:v>41</x:v>
      </x:c>
      <x:c r="U47" s="23" t="s">
        <x:v>42</x:v>
      </x:c>
      <x:c r="X47" s="257" t="str">
        <x:v>Level</x:v>
      </x:c>
      <x:c r="Y47" s="257"/>
      <x:c r="Z47" s="259" t="str">
        <x:v>WGI法治指数3年变化</x:v>
      </x:c>
      <x:c r="AA47" s="259" t="str">
        <x:v>当期WGI法治百分位－3年前百分位。</x:v>
      </x:c>
      <x:c r="AB47" s="259" t="str">
        <x:v>原则上不强制设置</x:v>
      </x:c>
      <x:c r="AC47" s="259" t="str">
        <x:v>重大司法改革、仲裁裁决执行政策变化时作为Event。</x:v>
      </x:c>
      <x:c r="AD47" s="259" t="str">
        <x:v>L=70%×Level+30%×Trend</x:v>
      </x:c>
      <x:c r="AE47" s="259" t="str">
        <x:v>受当地法约束合同、缺乏国际仲裁保护的资产/债权</x:v>
      </x:c>
      <x:c r="AF47" s="259" t="str">
        <x:v>I按受当地司法执行影响合同金额、担保/债权余额及预计执行周期综合评分。</x:v>
      </x:c>
      <x:c r="AG47" s="259" t="str">
        <x:v>核心合同无法获得有效司法/仲裁救济时，Impact不低于4级。</x:v>
      </x:c>
      <x:c r="AH47" s="259" t="str">
        <x:v>纽约公约执行记录为Level/制度保障指标。</x:v>
      </x:c>
    </x:row>
    <x:row r="48" ht="50" customHeight="1">
      <x:c r="B48" s="119"/>
      <x:c r="D48" s="99"/>
      <x:c r="E48" s="30"/>
      <x:c r="F48" s="31"/>
      <x:c r="G48" s="32"/>
      <x:c r="H48" s="48"/>
      <x:c r="I48" s="50"/>
      <x:c r="J48" s="32"/>
      <x:c r="N48" s="10" t="s">
        <x:v>359</x:v>
      </x:c>
      <x:c r="O48" s="10" t="s">
        <x:v>360</x:v>
      </x:c>
      <x:c r="P48" s="23" t="s">
        <x:v>361</x:v>
      </x:c>
      <x:c r="Q48" s="10" t="s">
        <x:v>68</x:v>
      </x:c>
      <x:c r="R48" s="23" t="s">
        <x:v>60</x:v>
      </x:c>
      <x:c r="S48" s="10" t="s">
        <x:v>362</x:v>
      </x:c>
      <x:c r="T48" s="10" t="s">
        <x:v>363</x:v>
      </x:c>
      <x:c r="U48" s="23" t="s">
        <x:v>364</x:v>
      </x:c>
      <x:c r="X48" s="257" t="str">
        <x:v>Level / 制度保障</x:v>
      </x:c>
      <x:c r="Y48" s="257"/>
      <x:c r="Z48" s="257"/>
      <x:c r="AA48" s="257"/>
      <x:c r="AB48" s="257"/>
      <x:c r="AC48" s="257"/>
      <x:c r="AD48" s="257"/>
      <x:c r="AE48" s="257"/>
      <x:c r="AF48" s="257"/>
      <x:c r="AG48" s="257"/>
      <x:c r="AH48" s="257"/>
    </x:row>
    <x:row r="49" ht="80" customHeight="1">
      <x:c r="B49" s="120"/>
      <x:c r="D49" s="99"/>
      <x:c r="E49" s="30"/>
      <x:c r="F49" s="31" t="s">
        <x:v>365</x:v>
      </x:c>
      <x:c r="G49" s="32" t="s">
        <x:v>366</x:v>
      </x:c>
      <x:c r="H49" s="48"/>
      <x:c r="I49" s="50"/>
      <x:c r="J49" s="32" t="s">
        <x:v>367</x:v>
      </x:c>
      <x:c r="L49" s="20" t="s">
        <x:v>34</x:v>
      </x:c>
      <x:c r="M49" s="20" t="s">
        <x:v>34</x:v>
      </x:c>
      <x:c r="N49" s="21" t="s">
        <x:v>368</x:v>
      </x:c>
      <x:c r="O49" s="42" t="s">
        <x:v>369</x:v>
      </x:c>
      <x:c r="P49" s="42" t="s">
        <x:v>370</x:v>
      </x:c>
      <x:c r="Q49" s="42" t="s">
        <x:v>68</x:v>
      </x:c>
      <x:c r="R49" s="42" t="s">
        <x:v>371</x:v>
      </x:c>
      <x:c r="S49" s="42" t="s">
        <x:v>372</x:v>
      </x:c>
      <x:c r="T49" s="42" t="s">
        <x:v>373</x:v>
      </x:c>
      <x:c r="U49" s="42" t="s">
        <x:v>374</x:v>
      </x:c>
      <x:c r="X49" s="257" t="str">
        <x:v>Level / Event</x:v>
      </x:c>
      <x:c r="Y49" s="257"/>
      <x:c r="Z49" s="259" t="str">
        <x:v>近3年外资限制措施净增加数量</x:v>
      </x:c>
      <x:c r="AA49" s="259" t="str">
        <x:v>统计限制/放宽措施净变化，并对目标行业单独加权。</x:v>
      </x:c>
      <x:c r="AB49" s="259" t="str">
        <x:v>已公布待实施的外资准入/国家安全审查新规</x:v>
      </x:c>
      <x:c r="AC49" s="259" t="str">
        <x:v>未来6–12个月将生效且适用于项目的政策计入Event。</x:v>
      </x:c>
      <x:c r="AD49" s="259" t="str">
        <x:v>L=45%×Level+25%×Trend+30%×Event</x:v>
      </x:c>
      <x:c r="AE49" s="259" t="str">
        <x:v>受限项目资产、控制权损失、重组/延迟成本</x:v>
      </x:c>
      <x:c r="AF49" s="259" t="str">
        <x:v>I按受影响资产占比+被迫调整股比导致的控制权/收益损失+交易延期及重组成本综合评分。</x:v>
      </x:c>
      <x:c r="AG49" s="259" t="str">
        <x:v>行业禁止外资进入或交易被安全审查否决时，Likelihood=5、Impact至少4级。</x:v>
      </x:c>
      <x:c r="AH49" s="259" t="str">
        <x:v>现有指标已较完整，重点补充趋势与已公布待实施政策。</x:v>
      </x:c>
    </x:row>
    <x:row r="50" ht="80" customHeight="1">
      <x:c r="B50" s="120"/>
      <x:c r="D50" s="99"/>
      <x:c r="E50" s="30"/>
      <x:c r="F50" s="92" t="s">
        <x:v>375</x:v>
      </x:c>
      <x:c r="G50" s="89" t="s">
        <x:v>376</x:v>
      </x:c>
      <x:c r="H50" s="48"/>
      <x:c r="I50" s="50"/>
      <x:c r="J50" s="89" t="s">
        <x:v>377</x:v>
      </x:c>
      <x:c r="L50" s="97" t="s">
        <x:v>34</x:v>
      </x:c>
      <x:c r="M50" s="97" t="s">
        <x:v>34</x:v>
      </x:c>
      <x:c r="N50" s="23" t="s">
        <x:v>378</x:v>
      </x:c>
      <x:c r="O50" s="23" t="s">
        <x:v>379</x:v>
      </x:c>
      <x:c r="P50" s="23" t="s">
        <x:v>380</x:v>
      </x:c>
      <x:c r="Q50" s="23" t="s">
        <x:v>381</x:v>
      </x:c>
      <x:c r="R50" s="23" t="s">
        <x:v>39</x:v>
      </x:c>
      <x:c r="S50" s="23" t="s">
        <x:v>382</x:v>
      </x:c>
      <x:c r="T50" s="23" t="s">
        <x:v>383</x:v>
      </x:c>
      <x:c r="U50" s="23" t="s">
        <x:v>384</x:v>
      </x:c>
      <x:c r="X50" s="257" t="str">
        <x:v>History / Level</x:v>
      </x:c>
      <x:c r="Y50" s="257"/>
      <x:c r="Z50" s="259" t="str">
        <x:v>近3年有效税负/主要税率变化趋势</x:v>
      </x:c>
      <x:c r="AA50" s="259" t="str">
        <x:v>比较项目相关所得税、预提税、关税等实际有效税率变化。</x:v>
      </x:c>
      <x:c r="AB50" s="259" t="str">
        <x:v>未来12个月已公布/审议中的重大税改</x:v>
      </x:c>
      <x:c r="AC50" s="259" t="str">
        <x:v>对已进入立法或明确实施时间表的税改计分。</x:v>
      </x:c>
      <x:c r="AD50" s="259" t="str">
        <x:v>L=45%×Level+25%×Trend+30%×Event</x:v>
      </x:c>
      <x:c r="AE50" s="259" t="str">
        <x:v>新增税负</x:v>
      </x:c>
      <x:c r="AF50" s="259" t="str">
        <x:v>ΔTax=新税制下预计税负－原投资测算税负；Impact按ΔTax/EBITDA或ΔTax/项目自由现金流映射1–5级。</x:v>
      </x:c>
      <x:c r="AG50" s="259" t="str">
        <x:v>预计新增税负&gt;20% EBITDA时，Impact=5。</x:v>
      </x:c>
      <x:c r="AH50" s="259" t="str">
        <x:v>现有5年政策调整频次偏历史，应增加已公布/审议税改以提升预测性。</x:v>
      </x:c>
    </x:row>
    <x:row r="51" ht="34">
      <x:c r="B51" s="120"/>
      <x:c r="D51" s="99"/>
      <x:c r="E51" s="30"/>
      <x:c r="F51" s="94"/>
      <x:c r="G51" s="91"/>
      <x:c r="H51" s="48"/>
      <x:c r="I51" s="50"/>
      <x:c r="J51" s="91"/>
      <x:c r="L51" s="98"/>
      <x:c r="M51" s="98"/>
      <x:c r="N51" s="10" t="s">
        <x:v>385</x:v>
      </x:c>
      <x:c r="O51" s="10" t="s">
        <x:v>386</x:v>
      </x:c>
      <x:c r="P51" s="23" t="s">
        <x:v>387</x:v>
      </x:c>
      <x:c r="Q51" s="10" t="s">
        <x:v>38</x:v>
      </x:c>
      <x:c r="R51" s="23" t="s">
        <x:v>39</x:v>
      </x:c>
      <x:c r="S51" s="10" t="s">
        <x:v>388</x:v>
      </x:c>
      <x:c r="T51" s="10" t="s">
        <x:v>389</x:v>
      </x:c>
      <x:c r="U51" s="23" t="s">
        <x:v>390</x:v>
      </x:c>
      <x:c r="X51" s="257" t="str">
        <x:v>Trend</x:v>
      </x:c>
      <x:c r="Y51" s="257"/>
      <x:c r="Z51" s="257"/>
      <x:c r="AA51" s="257"/>
      <x:c r="AB51" s="257"/>
      <x:c r="AC51" s="257"/>
      <x:c r="AD51" s="257"/>
      <x:c r="AE51" s="257"/>
      <x:c r="AF51" s="257"/>
      <x:c r="AG51" s="257"/>
      <x:c r="AH51" s="257"/>
    </x:row>
    <x:row r="52" ht="80" customHeight="1">
      <x:c r="B52" s="120"/>
      <x:c r="D52" s="99"/>
      <x:c r="E52" s="30"/>
      <x:c r="F52" s="31" t="s">
        <x:v>391</x:v>
      </x:c>
      <x:c r="G52" s="32" t="s">
        <x:v>392</x:v>
      </x:c>
      <x:c r="H52" s="48"/>
      <x:c r="I52" s="50"/>
      <x:c r="J52" s="32" t="s">
        <x:v>393</x:v>
      </x:c>
      <x:c r="L52" s="20" t="s">
        <x:v>34</x:v>
      </x:c>
      <x:c r="M52" s="20" t="s">
        <x:v>34</x:v>
      </x:c>
      <x:c r="N52" s="42" t="s">
        <x:v>394</x:v>
      </x:c>
      <x:c r="O52" s="43" t="s">
        <x:v>395</x:v>
      </x:c>
      <x:c r="P52" s="43" t="s">
        <x:v>396</x:v>
      </x:c>
      <x:c r="Q52" s="43" t="s">
        <x:v>68</x:v>
      </x:c>
      <x:c r="R52" s="43" t="s">
        <x:v>397</x:v>
      </x:c>
      <x:c r="S52" s="43" t="s">
        <x:v>398</x:v>
      </x:c>
      <x:c r="T52" s="43" t="s">
        <x:v>399</x:v>
      </x:c>
      <x:c r="U52" s="43" t="s">
        <x:v>400</x:v>
      </x:c>
      <x:c r="V52" s="44" t="s">
        <x:v>401</x:v>
      </x:c>
      <x:c r="W52" s="44" t="s">
        <x:v>402</x:v>
      </x:c>
      <x:c r="X52" s="257" t="str">
        <x:v>建议替换：与环保风险不匹配</x:v>
      </x:c>
      <x:c r="Y52" s="257" t="str">
        <x:v>建议替换为“环保监管严格程度/项目适用环保许可与排放标准”；原指标应归入市场准入风险。</x:v>
      </x:c>
      <x:c r="Z52" s="259" t="str">
        <x:v>近3年环保/排放标准收紧次数</x:v>
      </x:c>
      <x:c r="AA52" s="259" t="str">
        <x:v>统计项目适用环保法规、排放标准、碳约束的实质性收紧次数。</x:v>
      </x:c>
      <x:c r="AB52" s="259" t="str">
        <x:v>已公布待实施的新排放/碳/环保标准</x:v>
      </x:c>
      <x:c r="AC52" s="259" t="str">
        <x:v>未来6–24个月内明确生效且适用于项目的政策计入Event。</x:v>
      </x:c>
      <x:c r="AD52" s="259" t="str">
        <x:v>L=45%×Level+25%×Trend+30%×Event</x:v>
      </x:c>
      <x:c r="AE52" s="259" t="str">
        <x:v>环保改造CAPEX、运营成本、限产/停工</x:v>
      </x:c>
      <x:c r="AF52" s="259" t="str">
        <x:v>I按环保改造CAPEX/项目总投资+新增环保成本/EBITDA+预计限产停工天数综合评分。</x:v>
      </x:c>
      <x:c r="AG52" s="259" t="str">
        <x:v>新规导致项目无法持续合规运营时，Impact=5。</x:v>
      </x:c>
      <x:c r="AH52" s="259" t="str">
        <x:v>应替换现有“关键市场准入资质及行业准入限制程度”，该指标与环保政策风险不匹配。</x:v>
      </x:c>
    </x:row>
    <x:row r="53" ht="80" customHeight="1">
      <x:c r="B53" s="120"/>
      <x:c r="D53" s="99"/>
      <x:c r="E53" s="30"/>
      <x:c r="F53" s="31" t="s">
        <x:v>403</x:v>
      </x:c>
      <x:c r="G53" s="32" t="s">
        <x:v>404</x:v>
      </x:c>
      <x:c r="H53" s="48"/>
      <x:c r="I53" s="50"/>
      <x:c r="J53" s="32" t="s">
        <x:v>405</x:v>
      </x:c>
      <x:c r="L53" s="20" t="s">
        <x:v>34</x:v>
      </x:c>
      <x:c r="M53" s="20" t="s">
        <x:v>34</x:v>
      </x:c>
      <x:c r="N53" s="10" t="s">
        <x:v>406</x:v>
      </x:c>
      <x:c r="O53" s="10" t="s">
        <x:v>407</x:v>
      </x:c>
      <x:c r="P53" s="23" t="s">
        <x:v>46</x:v>
      </x:c>
      <x:c r="Q53" s="10" t="s">
        <x:v>68</x:v>
      </x:c>
      <x:c r="R53" s="23" t="s">
        <x:v>60</x:v>
      </x:c>
      <x:c r="S53" s="10" t="s">
        <x:v>408</x:v>
      </x:c>
      <x:c r="T53" s="10" t="s">
        <x:v>409</x:v>
      </x:c>
      <x:c r="U53" s="23" t="s">
        <x:v>410</x:v>
      </x:c>
      <x:c r="X53" s="257" t="str">
        <x:v>Level</x:v>
      </x:c>
      <x:c r="Y53" s="257"/>
      <x:c r="Z53" s="259" t="str">
        <x:v>近3年外资土地政策不利调整次数</x:v>
      </x:c>
      <x:c r="AA53" s="259" t="str">
        <x:v>统计持有、租赁、用途变更、续期、转让等限制收紧。</x:v>
      </x:c>
      <x:c r="AB53" s="259" t="str">
        <x:v>项目土地续期/用途审批临近或土地法已公布待实施调整</x:v>
      </x:c>
      <x:c r="AC53" s="259" t="str">
        <x:v>关键土地权利将在未来12个月到期/复核时计入Event。</x:v>
      </x:c>
      <x:c r="AD53" s="259" t="str">
        <x:v>L=50%×Level+25%×Trend+25%×Event</x:v>
      </x:c>
      <x:c r="AE53" s="259" t="str">
        <x:v>受影响土地对应资产、替代土地成本、工期延误</x:v>
      </x:c>
      <x:c r="AF53" s="259" t="str">
        <x:v>预计损失=受影响项目资产价值+替代土地/搬迁成本+延期天数×单位延期成本。</x:v>
      </x:c>
      <x:c r="AG53" s="259" t="str">
        <x:v>核心项目土地权利无法取得/续期且无替代方案时，Impact=5。</x:v>
      </x:c>
      <x:c r="AH53" s="259" t="str">
        <x:v>由静态持地限制扩展到政策趋势与项目土地权利事件。</x:v>
      </x:c>
    </x:row>
    <x:row r="54" ht="80" customHeight="1">
      <x:c r="B54" s="120"/>
      <x:c r="D54" s="99"/>
      <x:c r="E54" s="30"/>
      <x:c r="F54" s="31" t="s">
        <x:v>411</x:v>
      </x:c>
      <x:c r="G54" s="32" t="s">
        <x:v>412</x:v>
      </x:c>
      <x:c r="H54" s="48"/>
      <x:c r="I54" s="50"/>
      <x:c r="J54" s="32" t="s">
        <x:v>413</x:v>
      </x:c>
      <x:c r="L54" s="20" t="s">
        <x:v>34</x:v>
      </x:c>
      <x:c r="M54" s="20" t="s">
        <x:v>34</x:v>
      </x:c>
      <x:c r="N54" s="42" t="s">
        <x:v>414</x:v>
      </x:c>
      <x:c r="O54" s="42" t="s">
        <x:v>415</x:v>
      </x:c>
      <x:c r="P54" s="42" t="s">
        <x:v>416</x:v>
      </x:c>
      <x:c r="Q54" s="42" t="s">
        <x:v>68</x:v>
      </x:c>
      <x:c r="R54" s="42" t="s">
        <x:v>371</x:v>
      </x:c>
      <x:c r="S54" s="42" t="s">
        <x:v>417</x:v>
      </x:c>
      <x:c r="T54" s="42" t="s">
        <x:v>418</x:v>
      </x:c>
      <x:c r="U54" s="42" t="s">
        <x:v>419</x:v>
      </x:c>
      <x:c r="X54" s="257" t="str">
        <x:v>Level / Trend / Event（建议拆分）</x:v>
      </x:c>
      <x:c r="Y54" s="257"/>
      <x:c r="Z54" s="259" t="str">
        <x:v>近12个月工资/社保/本地化要求变化</x:v>
      </x:c>
      <x:c r="AA54" s="259" t="str">
        <x:v>拆分现有综合指标中的政策变化项，形成独立Trend。</x:v>
      </x:c>
      <x:c r="AB54" s="259" t="str">
        <x:v>已公布待实施劳动法规/签证配额调整</x:v>
      </x:c>
      <x:c r="AC54" s="259" t="str">
        <x:v>未来12个月明确生效且影响关键人员配置或成本的政策计入Event。</x:v>
      </x:c>
      <x:c r="AD54" s="259" t="str">
        <x:v>L=45%×Level+30%×Trend+25%×Event</x:v>
      </x:c>
      <x:c r="AE54" s="259" t="str">
        <x:v>新增人工成本、关键人员缺口、停工时间</x:v>
      </x:c>
      <x:c r="AF54" s="259" t="str">
        <x:v>I按新增人工/社保成本占EBITDA比例+关键岗位无法配置比例+预计停工时间综合评分。</x:v>
      </x:c>
      <x:c r="AG54" s="259" t="str">
        <x:v>规定导致关键人员无法配置或大规模强制调整时，Impact至少4级。</x:v>
      </x:c>
      <x:c r="AH54" s="259" t="str">
        <x:v>建议将现有复合指标拆成Level、Trend和Event三个信号。</x:v>
      </x:c>
    </x:row>
    <x:row r="55" ht="80" customHeight="1">
      <x:c r="B55" s="120"/>
      <x:c r="D55" s="99"/>
      <x:c r="E55" s="30"/>
      <x:c r="F55" s="31" t="s">
        <x:v>420</x:v>
      </x:c>
      <x:c r="G55" s="32" t="s">
        <x:v>421</x:v>
      </x:c>
      <x:c r="H55" s="48"/>
      <x:c r="I55" s="50"/>
      <x:c r="J55" s="32" t="s">
        <x:v>422</x:v>
      </x:c>
      <x:c r="L55" s="20" t="s">
        <x:v>34</x:v>
      </x:c>
      <x:c r="M55" s="20" t="s">
        <x:v>34</x:v>
      </x:c>
      <x:c r="N55" s="10" t="s">
        <x:v>423</x:v>
      </x:c>
      <x:c r="O55" s="10" t="s">
        <x:v>424</x:v>
      </x:c>
      <x:c r="P55" s="23" t="s">
        <x:v>425</x:v>
      </x:c>
      <x:c r="Q55" s="10" t="s">
        <x:v>68</x:v>
      </x:c>
      <x:c r="R55" s="23" t="s">
        <x:v>103</x:v>
      </x:c>
      <x:c r="S55" s="10" t="s">
        <x:v>426</x:v>
      </x:c>
      <x:c r="T55" s="10" t="s">
        <x:v>427</x:v>
      </x:c>
      <x:c r="U55" s="23" t="s">
        <x:v>428</x:v>
      </x:c>
      <x:c r="X55" s="257" t="str">
        <x:v>Level</x:v>
      </x:c>
      <x:c r="Y55" s="257"/>
      <x:c r="Z55" s="259" t="str">
        <x:v>近12个月外汇管制收紧次数及实际汇出周期变化</x:v>
      </x:c>
      <x:c r="AA55" s="259" t="str">
        <x:v>统计购汇/汇出政策收紧事件，并监测实际到账周期和拒付率。</x:v>
      </x:c>
      <x:c r="AB55" s="259" t="str">
        <x:v>外储快速下降、本币快速贬值、国际收支危机/资本管制新政</x:v>
      </x:c>
      <x:c r="AC55" s="259" t="str">
        <x:v>出现组合性外汇压力或已公布资本管制措施时提高Event。</x:v>
      </x:c>
      <x:c r="AD55" s="259" t="str">
        <x:v>L=45%×Level+30%×Trend+25%×Event</x:v>
      </x:c>
      <x:c r="AE55" s="259" t="str">
        <x:v>无法汇出资金、外币偿债缺口</x:v>
      </x:c>
      <x:c r="AF55" s="259" t="str">
        <x:v>I按预计无法汇出资金/年度可支配现金流+外币债务偿付缺口/年度债务本息综合评分。</x:v>
      </x:c>
      <x:c r="AG55" s="259" t="str">
        <x:v>暂停或严格限制利润/本金汇出时，Likelihood=5。</x:v>
      </x:c>
      <x:c r="AH55" s="259" t="str">
        <x:v>可与外储风险跨风险联动，避免重复采集外储数据。</x:v>
      </x:c>
    </x:row>
    <x:row r="56" ht="80" customHeight="1">
      <x:c r="B56" s="120"/>
      <x:c r="D56" s="100"/>
      <x:c r="E56" s="30"/>
      <x:c r="F56" s="92" t="s">
        <x:v>429</x:v>
      </x:c>
      <x:c r="G56" s="89" t="s">
        <x:v>430</x:v>
      </x:c>
      <x:c r="H56" s="48"/>
      <x:c r="I56" s="50"/>
      <x:c r="J56" s="89" t="s">
        <x:v>431</x:v>
      </x:c>
      <x:c r="L56" s="20" t="s">
        <x:v>34</x:v>
      </x:c>
      <x:c r="M56" s="20" t="s">
        <x:v>34</x:v>
      </x:c>
      <x:c r="N56" s="10" t="s">
        <x:v>432</x:v>
      </x:c>
      <x:c r="O56" s="10" t="s">
        <x:v>433</x:v>
      </x:c>
      <x:c r="P56" s="23" t="s">
        <x:v>46</x:v>
      </x:c>
      <x:c r="Q56" s="10" t="s">
        <x:v>68</x:v>
      </x:c>
      <x:c r="R56" s="23" t="s">
        <x:v>60</x:v>
      </x:c>
      <x:c r="S56" s="10" t="s">
        <x:v>434</x:v>
      </x:c>
      <x:c r="T56" s="10" t="s">
        <x:v>435</x:v>
      </x:c>
      <x:c r="U56" s="23" t="s">
        <x:v>436</x:v>
      </x:c>
      <x:c r="X56" s="257" t="str">
        <x:v>History / Level</x:v>
      </x:c>
      <x:c r="Y56" s="257"/>
      <x:c r="Z56" s="259" t="str">
        <x:v>近5年政府干预私人/外资资产事件趋势</x:v>
      </x:c>
      <x:c r="AA56" s="259" t="str">
        <x:v>统计征收、强制入股、特许权重审、合同强制重谈等事件变化。</x:v>
      </x:c>
      <x:c r="AB56" s="259" t="str">
        <x:v>换届、资源民族主义政策、针对外资资产的公开征收/国有化表态</x:v>
      </x:c>
      <x:c r="AC56" s="259" t="str">
        <x:v>未来6–12个月存在明确政策主张或立法时提高Event。</x:v>
      </x:c>
      <x:c r="AD56" s="259" t="str">
        <x:v>L=40%×Level+25%×Trend+35%×Event</x:v>
      </x:c>
      <x:c r="AE56" s="259" t="str">
        <x:v>受征收资产价值、补偿、保险/BIT预计回收</x:v>
      </x:c>
      <x:c r="AF56" s="259" t="str">
        <x:v>Net Loss=受影响资产/企业价值－预计政府补偿－政治风险保险回收－BIT/仲裁预计回收；按Net Loss/项目净资产映射1–5级。</x:v>
      </x:c>
      <x:c r="AG56" s="259" t="str">
        <x:v>已发生征收/国有化或核心特许权被撤销时，Likelihood=5、Impact至少4级。</x:v>
      </x:c>
      <x:c r="AH56" s="259" t="str">
        <x:v>将“双边投资保护协定状态”从Likelihood调整为Impact/Mitigation。</x:v>
      </x:c>
    </x:row>
    <x:row r="57" ht="46" customHeight="1">
      <x:c r="B57" s="120"/>
      <x:c r="D57" s="33"/>
      <x:c r="E57" s="30"/>
      <x:c r="F57" s="93"/>
      <x:c r="G57" s="90"/>
      <x:c r="H57" s="48"/>
      <x:c r="I57" s="51"/>
      <x:c r="J57" s="90"/>
      <x:c r="N57" s="10" t="s">
        <x:v>437</x:v>
      </x:c>
      <x:c r="O57" s="10" t="s">
        <x:v>438</x:v>
      </x:c>
      <x:c r="P57" s="23" t="s">
        <x:v>46</x:v>
      </x:c>
      <x:c r="Q57" s="10" t="s">
        <x:v>68</x:v>
      </x:c>
      <x:c r="R57" s="23" t="s">
        <x:v>39</x:v>
      </x:c>
      <x:c r="S57" s="10" t="s">
        <x:v>439</x:v>
      </x:c>
      <x:c r="T57" s="10" t="s">
        <x:v>440</x:v>
      </x:c>
      <x:c r="U57" s="23" t="s">
        <x:v>441</x:v>
      </x:c>
      <x:c r="X57" s="257" t="str">
        <x:v>History / Event</x:v>
      </x:c>
      <x:c r="Y57" s="257"/>
      <x:c r="Z57" s="257"/>
      <x:c r="AA57" s="257"/>
      <x:c r="AB57" s="257"/>
      <x:c r="AC57" s="257"/>
      <x:c r="AD57" s="257"/>
      <x:c r="AE57" s="257"/>
      <x:c r="AF57" s="257"/>
      <x:c r="AG57" s="257"/>
      <x:c r="AH57" s="257"/>
    </x:row>
    <x:row r="58" ht="46" customHeight="1">
      <x:c r="B58" s="120"/>
      <x:c r="D58" s="33"/>
      <x:c r="E58" s="30"/>
      <x:c r="F58" s="94"/>
      <x:c r="G58" s="91"/>
      <x:c r="H58" s="48"/>
      <x:c r="I58" s="50"/>
      <x:c r="J58" s="91"/>
      <x:c r="N58" s="39" t="s">
        <x:v>442</x:v>
      </x:c>
      <x:c r="O58" s="40" t="s">
        <x:v>443</x:v>
      </x:c>
      <x:c r="P58" s="41" t="s">
        <x:v>46</x:v>
      </x:c>
      <x:c r="Q58" s="40" t="s">
        <x:v>68</x:v>
      </x:c>
      <x:c r="R58" s="41" t="s">
        <x:v>60</x:v>
      </x:c>
      <x:c r="S58" s="40" t="s">
        <x:v>444</x:v>
      </x:c>
      <x:c r="T58" s="40" t="s">
        <x:v>445</x:v>
      </x:c>
      <x:c r="U58" s="41" t="s">
        <x:v>446</x:v>
      </x:c>
      <x:c r="X58" s="257" t="str">
        <x:v>Impact / Mitigation（调整）</x:v>
      </x:c>
      <x:c r="Y58" s="257" t="str">
        <x:v>从国家征收Likelihood移至Impact/Mitigation，用于评估发生征收后的可追回程度。</x:v>
      </x:c>
      <x:c r="Z58" s="257"/>
      <x:c r="AA58" s="257"/>
      <x:c r="AB58" s="257"/>
      <x:c r="AC58" s="257"/>
      <x:c r="AD58" s="257"/>
      <x:c r="AE58" s="257"/>
      <x:c r="AF58" s="257"/>
      <x:c r="AG58" s="257"/>
      <x:c r="AH58" s="257"/>
    </x:row>
    <x:row r="59" ht="80" customHeight="1">
      <x:c r="B59" s="120"/>
      <x:c r="D59" s="99" t="s">
        <x:v>447</x:v>
      </x:c>
      <x:c r="E59" s="30"/>
      <x:c r="F59" s="31" t="s">
        <x:v>448</x:v>
      </x:c>
      <x:c r="G59" s="32" t="s">
        <x:v>449</x:v>
      </x:c>
      <x:c r="H59" s="48"/>
      <x:c r="I59" s="50"/>
      <x:c r="J59" s="32" t="s">
        <x:v>450</x:v>
      </x:c>
      <x:c r="L59" s="20" t="s">
        <x:v>34</x:v>
      </x:c>
      <x:c r="M59" s="20" t="s">
        <x:v>34</x:v>
      </x:c>
      <x:c r="N59" s="10" t="s">
        <x:v>451</x:v>
      </x:c>
      <x:c r="O59" s="10" t="s">
        <x:v>452</x:v>
      </x:c>
      <x:c r="P59" s="23" t="s">
        <x:v>453</x:v>
      </x:c>
      <x:c r="Q59" s="10" t="s">
        <x:v>38</x:v>
      </x:c>
      <x:c r="R59" s="23" t="s">
        <x:v>39</x:v>
      </x:c>
      <x:c r="S59" s="10" t="s">
        <x:v>454</x:v>
      </x:c>
      <x:c r="T59" s="10" t="s">
        <x:v>455</x:v>
      </x:c>
      <x:c r="U59" s="23" t="s">
        <x:v>456</x:v>
      </x:c>
      <x:c r="X59" s="257" t="str">
        <x:v>建议移出：需求指标非监管Likelihood</x:v>
      </x:c>
      <x:c r="Y59" s="257" t="str">
        <x:v>建议移出行业监管风险Likelihood，可转为宏观/行业需求辅助指标；替换为“电力监管政策与市场规则稳定性”。</x:v>
      </x:c>
      <x:c r="Z59" s="259" t="str">
        <x:v>近3–5年电力监管重大规则调整次数</x:v>
      </x:c>
      <x:c r="AA59" s="259" t="str">
        <x:v>统计电价、并网、交易机制、调度、牌照及监管标准的实质变化。</x:v>
      </x:c>
      <x:c r="AB59" s="259" t="str">
        <x:v>已发布待实施的电力市场改革/并网/交易规则</x:v>
      </x:c>
      <x:c r="AC59" s="259" t="str">
        <x:v>未来6–24个月明确生效且影响项目的规则计入Event。</x:v>
      </x:c>
      <x:c r="AD59" s="259" t="str">
        <x:v>L=45%×Level+25%×Trend+30%×Event</x:v>
      </x:c>
      <x:c r="AE59" s="259" t="str">
        <x:v>受新规则影响收入、合规改造成本、限发/交易损失</x:v>
      </x:c>
      <x:c r="AF59" s="259" t="str">
        <x:v>预计损失=收入机制变化损失+合规改造成本+限发/交易限制导致的收入损失；按损失/EBITDA评分。</x:v>
      </x:c>
      <x:c r="AG59" s="259" t="str">
        <x:v>监管新规导致项目无法按既定商业模式运营时，Impact=5。</x:v>
      </x:c>
      <x:c r="AH59" s="259" t="str">
        <x:v>建议将“电力消费增速”移出Likelihood，替换为电力监管政策/市场规则稳定性指标。</x:v>
      </x:c>
    </x:row>
    <x:row r="60" ht="80" customHeight="1">
      <x:c r="B60" s="120"/>
      <x:c r="D60" s="99"/>
      <x:c r="E60" s="30"/>
      <x:c r="F60" s="31" t="s">
        <x:v>457</x:v>
      </x:c>
      <x:c r="G60" s="32" t="s">
        <x:v>458</x:v>
      </x:c>
      <x:c r="H60" s="48"/>
      <x:c r="I60" s="50"/>
      <x:c r="J60" s="32" t="s">
        <x:v>459</x:v>
      </x:c>
      <x:c r="L60" s="20" t="s">
        <x:v>34</x:v>
      </x:c>
      <x:c r="M60" s="20" t="s">
        <x:v>34</x:v>
      </x:c>
      <x:c r="N60" s="42" t="s">
        <x:v>394</x:v>
      </x:c>
      <x:c r="O60" s="42" t="s">
        <x:v>395</x:v>
      </x:c>
      <x:c r="P60" s="42" t="s">
        <x:v>396</x:v>
      </x:c>
      <x:c r="Q60" s="42" t="s">
        <x:v>68</x:v>
      </x:c>
      <x:c r="R60" s="42" t="s">
        <x:v>397</x:v>
      </x:c>
      <x:c r="S60" s="42" t="s">
        <x:v>398</x:v>
      </x:c>
      <x:c r="T60" s="42" t="s">
        <x:v>399</x:v>
      </x:c>
      <x:c r="U60" s="42" t="s">
        <x:v>400</x:v>
      </x:c>
      <x:c r="X60" s="257" t="str">
        <x:v>Level / Event</x:v>
      </x:c>
      <x:c r="Y60" s="257"/>
      <x:c r="Z60" s="259" t="str">
        <x:v>近3年行业准入条件收紧次数</x:v>
      </x:c>
      <x:c r="AA60" s="259" t="str">
        <x:v>统计许可、外资股比、本地化、技术条件等准入要求变化。</x:v>
      </x:c>
      <x:c r="AB60" s="259" t="str">
        <x:v>核心许可续期/申请、已发布准入新规</x:v>
      </x:c>
      <x:c r="AC60" s="259" t="str">
        <x:v>未来12个月关键许可到期、审批或新规生效时提高Event。</x:v>
      </x:c>
      <x:c r="AD60" s="259" t="str">
        <x:v>L=45%×Level+25%×Trend+30%×Event</x:v>
      </x:c>
      <x:c r="AE60" s="259" t="str">
        <x:v>未取得资质对应资产、延迟投产、无法经营损失</x:v>
      </x:c>
      <x:c r="AF60" s="259" t="str">
        <x:v>预计损失=沉淀投资+延期天数×单位延期成本+无法经营情况下的项目价值损失。</x:v>
      </x:c>
      <x:c r="AG60" s="259" t="str">
        <x:v>核心发电/并网/特许经营许可无法取得或续期时，Impact=5。</x:v>
      </x:c>
      <x:c r="AH60" s="259" t="str">
        <x:v>现有准入指标可保留作为Level。</x:v>
      </x:c>
    </x:row>
    <x:row r="61" ht="80" customHeight="1">
      <x:c r="B61" s="120"/>
      <x:c r="D61" s="99"/>
      <x:c r="E61" s="30"/>
      <x:c r="F61" s="31" t="s">
        <x:v>460</x:v>
      </x:c>
      <x:c r="G61" s="32" t="s">
        <x:v>461</x:v>
      </x:c>
      <x:c r="H61" s="48"/>
      <x:c r="I61" s="50"/>
      <x:c r="J61" s="32" t="s">
        <x:v>462</x:v>
      </x:c>
      <x:c r="L61" s="20" t="s">
        <x:v>34</x:v>
      </x:c>
      <x:c r="M61" s="20" t="s">
        <x:v>34</x:v>
      </x:c>
      <x:c r="N61" s="23" t="s">
        <x:v>463</x:v>
      </x:c>
      <x:c r="O61" s="23" t="s">
        <x:v>464</x:v>
      </x:c>
      <x:c r="P61" s="23" t="s">
        <x:v>465</x:v>
      </x:c>
      <x:c r="Q61" s="23" t="s">
        <x:v>381</x:v>
      </x:c>
      <x:c r="R61" s="23" t="s">
        <x:v>39</x:v>
      </x:c>
      <x:c r="S61" s="23" t="s">
        <x:v>382</x:v>
      </x:c>
      <x:c r="T61" s="23" t="s">
        <x:v>383</x:v>
      </x:c>
      <x:c r="U61" s="23" t="s">
        <x:v>466</x:v>
      </x:c>
      <x:c r="X61" s="257" t="str">
        <x:v>History / Level</x:v>
      </x:c>
      <x:c r="Y61" s="257"/>
      <x:c r="Z61" s="259" t="str">
        <x:v>近3年优惠力度/兑现率变化</x:v>
      </x:c>
      <x:c r="AA61" s="259" t="str">
        <x:v>跟踪补贴、税收减免、土地优惠、融资支持的削减幅度及兑现延迟。</x:v>
      </x:c>
      <x:c r="AB61" s="259" t="str">
        <x:v>已公布的补贴退坡/优惠到期时间</x:v>
      </x:c>
      <x:c r="AC61" s="259" t="str">
        <x:v>未来12–24个月明确退坡或到期且项目高度依赖时提高Event。</x:v>
      </x:c>
      <x:c r="AD61" s="259" t="str">
        <x:v>L=45%×Level+25%×Trend+30%×Event</x:v>
      </x:c>
      <x:c r="AE61" s="259" t="str">
        <x:v>优惠政策取消/退坡损失</x:v>
      </x:c>
      <x:c r="AF61" s="259" t="str">
        <x:v>优惠损失=原预计优惠收益－调整后预计优惠收益；Impact按优惠损失/项目NPV或年度EBITDA映射1–5级。</x:v>
      </x:c>
      <x:c r="AG61" s="259" t="str">
        <x:v>核心收益模型依赖的优惠被取消且无替代机制时，Impact至少4级。</x:v>
      </x:c>
      <x:c r="AH61" s="259" t="str">
        <x:v>从历史调整频次扩展到实际兑现与已知退坡时间。</x:v>
      </x:c>
    </x:row>
    <x:row r="62" ht="80" customHeight="1">
      <x:c r="B62" s="120"/>
      <x:c r="D62" s="100"/>
      <x:c r="E62" s="30"/>
      <x:c r="F62" s="34" t="s">
        <x:v>467</x:v>
      </x:c>
      <x:c r="G62" s="32" t="s">
        <x:v>468</x:v>
      </x:c>
      <x:c r="H62" s="48"/>
      <x:c r="I62" s="50"/>
      <x:c r="J62" s="32" t="s">
        <x:v>469</x:v>
      </x:c>
      <x:c r="L62" s="20" t="s">
        <x:v>34</x:v>
      </x:c>
      <x:c r="M62" s="20" t="s">
        <x:v>34</x:v>
      </x:c>
      <x:c r="N62" s="23" t="s">
        <x:v>470</x:v>
      </x:c>
      <x:c r="O62" s="10" t="s">
        <x:v>471</x:v>
      </x:c>
      <x:c r="P62" s="23" t="s">
        <x:v>472</x:v>
      </x:c>
      <x:c r="Q62" s="10" t="s">
        <x:v>68</x:v>
      </x:c>
      <x:c r="R62" s="23" t="s">
        <x:v>39</x:v>
      </x:c>
      <x:c r="S62" s="10" t="s">
        <x:v>473</x:v>
      </x:c>
      <x:c r="T62" s="10" t="s">
        <x:v>474</x:v>
      </x:c>
      <x:c r="U62" s="23" t="s">
        <x:v>475</x:v>
      </x:c>
      <x:c r="X62" s="257" t="str">
        <x:v>Level + Impact混合（建议拆分）</x:v>
      </x:c>
      <x:c r="Y62" s="257" t="str">
        <x:v>建议拆分：历史电价政策调整用于Likelihood；成本回收率/电价缺口用于Impact。</x:v>
      </x:c>
      <x:c r="Z62" s="259" t="str">
        <x:v>近3年实际电价调整幅度与CPI/成本上涨幅度差异</x:v>
      </x:c>
      <x:c r="AA62" s="259" t="str">
        <x:v>电价调整差额=实际电价涨幅－单位供电成本/CPI涨幅；持续为负视为恶化。</x:v>
      </x:c>
      <x:c r="AB62" s="259" t="str">
        <x:v>已公布电价改革、冻结、重审或调价机制变更</x:v>
      </x:c>
      <x:c r="AC62" s="259" t="str">
        <x:v>未来6–12个月明确实施的电价政策计入Event。</x:v>
      </x:c>
      <x:c r="AD62" s="259" t="str">
        <x:v>L=45%×Level+30%×Trend+25%×Event</x:v>
      </x:c>
      <x:c r="AE62" s="259" t="str">
        <x:v>电价缺口导致的收入损失</x:v>
      </x:c>
      <x:c r="AF62" s="259" t="str">
        <x:v>电价缺口=成本回收电价－实际核定电价；Revenue Loss=电价缺口×预计上网电量；按Revenue Loss/EBITDA映射1–5级。</x:v>
      </x:c>
      <x:c r="AG62" s="259" t="str">
        <x:v>行政冻结/强制降价且预计Revenue Loss&gt;20% EBITDA时，Impact=5。</x:v>
      </x:c>
      <x:c r="AH62" s="259" t="str">
        <x:v>将现有复合指标拆为Likelihood信号与Impact的成本回收损失。</x:v>
      </x:c>
    </x:row>
    <x:row r="63">
      <x:c r="N63" s="45"/>
    </x:row>
    <x:row r="64">
      <x:c r="A64" s="230" t="str">
        <x:v>V2.0统一评分逻辑（建议）</x:v>
      </x:c>
      <x:c r="B64" s="230"/>
      <x:c r="C64" s="230"/>
      <x:c r="D64" s="230"/>
      <x:c r="E64" s="230"/>
      <x:c r="F64" s="230"/>
      <x:c r="G64" s="230"/>
      <x:c r="H64" s="230"/>
      <x:c r="I64" s="230"/>
      <x:c r="J64" s="230"/>
      <x:c r="K64" s="230"/>
      <x:c r="L64" s="230"/>
      <x:c r="M64" s="230"/>
      <x:c r="N64" s="230"/>
      <x:c r="O64" s="230"/>
      <x:c r="P64" s="230"/>
      <x:c r="Q64" s="230"/>
      <x:c r="R64" s="230"/>
      <x:c r="S64" s="230"/>
      <x:c r="T64" s="230"/>
      <x:c r="U64" s="230"/>
      <x:c r="V64" s="230"/>
      <x:c r="W64" s="230"/>
      <x:c r="X64" s="230"/>
      <x:c r="Y64" s="230"/>
      <x:c r="Z64" s="230"/>
      <x:c r="AA64" s="230"/>
      <x:c r="AB64" s="230"/>
      <x:c r="AC64" s="230"/>
      <x:c r="AD64" s="230"/>
      <x:c r="AE64" s="230"/>
      <x:c r="AF64" s="230"/>
      <x:c r="AG64" s="230"/>
      <x:c r="AH64" s="230"/>
    </x:row>
    <x:row r="65">
      <x:c r="A65" s="265" t="str">
        <x:v>一般风险Likelihood</x:v>
      </x:c>
      <x:c r="B65" s="255" t="str">
        <x:v>L=50%×Level+30%×Trend+20%×Event；按各三级风险特性微调。</x:v>
      </x:c>
    </x:row>
    <x:row r="66">
      <x:c r="A66" s="265" t="str">
        <x:v>结构性慢变量风险</x:v>
      </x:c>
      <x:c r="B66" s="255" t="str">
        <x:v>L=70%×Level+30%×Trend；不强制设置Event。</x:v>
      </x:c>
    </x:row>
    <x:row r="67">
      <x:c r="A67" s="265" t="str">
        <x:v>事件驱动型风险</x:v>
      </x:c>
      <x:c r="B67" s="255" t="str">
        <x:v>L=40%×Level+20%×Trend+40%×Event；战争、制裁、征收等提高Event权重。</x:v>
      </x:c>
    </x:row>
    <x:row r="68">
      <x:c r="A68" s="265" t="str">
        <x:v>Impact统一原则</x:v>
      </x:c>
      <x:c r="B68" s="255" t="str">
        <x:v>优先以项目财务损失、现金流缺口、经营中断、资产/人员暴露和战略/合规后果量化，再映射1–5级。</x:v>
      </x:c>
    </x:row>
    <x:row r="69">
      <x:c r="A69" s="265" t="str">
        <x:v>综合风险</x:v>
      </x:c>
      <x:c r="B69" s="255" t="str">
        <x:v>Risk Score = Likelihood Score × Impact Score；再按客户风险偏好映射低/中/高，并叠加红线规则。</x:v>
      </x:c>
    </x:row>
    <x:row r="75">
      <x:c r="G75" s="13"/>
      <x:c r="H75" s="13"/>
    </x:row>
    <x:row r="76">
      <x:c r="G76" s="13"/>
      <x:c r="H76" s="13"/>
    </x:row>
    <x:row r="77">
      <x:c r="G77" s="13"/>
      <x:c r="H77" s="13"/>
    </x:row>
  </x:sheetData>
  <x:mergeCells>
    <x:mergeCell ref="B47:B62"/>
    <x:mergeCell ref="P15:P16"/>
    <x:mergeCell ref="Q15:Q16"/>
    <x:mergeCell ref="R15:R16"/>
    <x:mergeCell ref="S15:S16"/>
    <x:mergeCell ref="T15:T16"/>
    <x:mergeCell ref="B4:B46"/>
    <x:mergeCell ref="L39:L41"/>
    <x:mergeCell ref="M39:M41"/>
    <x:mergeCell ref="K39:K41"/>
    <x:mergeCell ref="D14:D29"/>
    <x:mergeCell ref="H24:H29"/>
    <x:mergeCell ref="H4:H22"/>
    <x:mergeCell ref="I14:I22"/>
    <x:mergeCell ref="I24:I27"/>
    <x:mergeCell ref="J24:J27"/>
    <x:mergeCell ref="G24:G27"/>
    <x:mergeCell ref="D36:D38"/>
    <x:mergeCell ref="I10:I13"/>
    <x:mergeCell ref="I30:I38"/>
    <x:mergeCell ref="H30:H38"/>
    <x:mergeCell ref="D59:D62"/>
    <x:mergeCell ref="Q39:Q41"/>
    <x:mergeCell ref="R39:R41"/>
    <x:mergeCell ref="D39:D43"/>
    <x:mergeCell ref="H44:H46"/>
    <x:mergeCell ref="E39:E41"/>
    <x:mergeCell ref="F39:F41"/>
    <x:mergeCell ref="D44:D46"/>
    <x:mergeCell ref="H39:H43"/>
    <x:mergeCell ref="G39:G43"/>
    <x:mergeCell ref="F45:F46"/>
    <x:mergeCell ref="M45:M46"/>
    <x:mergeCell ref="G45:G46"/>
    <x:mergeCell ref="J45:J46"/>
    <x:mergeCell ref="D4:D13"/>
    <x:mergeCell ref="F4:F6"/>
    <x:mergeCell ref="G4:G6"/>
    <x:mergeCell ref="J4:J6"/>
    <x:mergeCell ref="U15:U16"/>
    <x:mergeCell ref="F50:F51"/>
    <x:mergeCell ref="G50:G51"/>
    <x:mergeCell ref="J50:J51"/>
    <x:mergeCell ref="L50:L51"/>
    <x:mergeCell ref="M50:M51"/>
    <x:mergeCell ref="D47:D56"/>
    <x:mergeCell ref="P39:P41"/>
    <x:mergeCell ref="G10:G11"/>
    <x:mergeCell ref="J10:J11"/>
    <x:mergeCell ref="K10:K11"/>
    <x:mergeCell ref="N39:N41"/>
    <x:mergeCell ref="O39:O41"/>
    <x:mergeCell ref="M28:M29"/>
    <x:mergeCell ref="F24:F29"/>
    <x:mergeCell ref="I39:I46"/>
    <x:mergeCell ref="L15:L16"/>
    <x:mergeCell ref="S39:S41"/>
    <x:mergeCell ref="T39:T41"/>
    <x:mergeCell ref="U39:U41"/>
    <x:mergeCell ref="M15:M16"/>
    <x:mergeCell ref="J39:J41"/>
    <x:mergeCell ref="J20:J21"/>
    <x:mergeCell ref="M20:M21"/>
    <x:mergeCell ref="L20:L21"/>
    <x:mergeCell ref="J14:J16"/>
    <x:mergeCell ref="N15:N16"/>
    <x:mergeCell ref="O15:O16"/>
    <x:mergeCell ref="F14:F16"/>
    <x:mergeCell ref="G14:G16"/>
    <x:mergeCell ref="F20:F21"/>
    <x:mergeCell ref="G20:G21"/>
    <x:mergeCell ref="A1:U1"/>
    <x:mergeCell ref="B2:B3"/>
    <x:mergeCell ref="C2:C3"/>
    <x:mergeCell ref="D2:D3"/>
    <x:mergeCell ref="E2:E3"/>
    <x:mergeCell ref="F2:F3"/>
    <x:mergeCell ref="G2:G3"/>
    <x:mergeCell ref="H2:H3"/>
    <x:mergeCell ref="I2:I3"/>
    <x:mergeCell ref="J2:J3"/>
    <x:mergeCell ref="Q2:Q3"/>
    <x:mergeCell ref="R2:R3"/>
    <x:mergeCell ref="S2:U2"/>
    <x:mergeCell ref="V2:V3"/>
    <x:mergeCell ref="W2:W3"/>
    <x:mergeCell ref="A4:A44"/>
    <x:mergeCell ref="C4:C44"/>
    <x:mergeCell ref="E4:E11"/>
    <x:mergeCell ref="K2:K3"/>
    <x:mergeCell ref="L2:L3"/>
    <x:mergeCell ref="M2:M3"/>
    <x:mergeCell ref="N2:N3"/>
    <x:mergeCell ref="O2:O3"/>
    <x:mergeCell ref="P2:P3"/>
    <x:mergeCell ref="L4:L6"/>
    <x:mergeCell ref="M4:M6"/>
    <x:mergeCell ref="K4:K6"/>
    <x:mergeCell ref="K14:K16"/>
    <x:mergeCell ref="L24:L26"/>
    <x:mergeCell ref="M24:M26"/>
    <x:mergeCell ref="L28:L29"/>
    <x:mergeCell ref="D30:D35"/>
    <x:mergeCell ref="M10:M11"/>
    <x:mergeCell ref="F10:F11"/>
    <x:mergeCell ref="F12:F13"/>
    <x:mergeCell ref="G12:G13"/>
    <x:mergeCell ref="J12:J13"/>
    <x:mergeCell ref="H47:H62"/>
    <x:mergeCell ref="I47:I56"/>
    <x:mergeCell ref="I57:I62"/>
    <x:mergeCell ref="F33:F35"/>
    <x:mergeCell ref="G33:G35"/>
    <x:mergeCell ref="J33:J35"/>
    <x:mergeCell ref="E30:E31"/>
    <x:mergeCell ref="L10:L11"/>
    <x:mergeCell ref="I4:I8"/>
    <x:mergeCell ref="E14:E18"/>
    <x:mergeCell ref="G56:G58"/>
    <x:mergeCell ref="F56:F58"/>
    <x:mergeCell ref="J56:J58"/>
    <x:mergeCell ref="X1:AH1"/>
    <x:mergeCell ref="A64:AH64"/>
  </x:mergeCells>
  <x:hyperlinks>
    <x:hyperlink xmlns:r="http://schemas.openxmlformats.org/officeDocument/2006/relationships" ref="V4" r:id="Re27f78ef8c90401d"/>
    <x:hyperlink xmlns:r="http://schemas.openxmlformats.org/officeDocument/2006/relationships" ref="V18" r:id="Rd0837b9bf17b4360"/>
    <x:hyperlink xmlns:r="http://schemas.openxmlformats.org/officeDocument/2006/relationships" ref="V31" r:id="R10bd0ba5826748a9"/>
  </x:hyperlink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8" hidden="0" customWidth="1"/>
    <x:col min="3" max="3" width="10" hidden="0" customWidth="1"/>
    <x:col min="4" max="4" width="28" hidden="0" customWidth="1"/>
    <x:col min="5" max="5" width="30" hidden="0" customWidth="1"/>
    <x:col min="6" max="6" width="18" hidden="0" customWidth="1"/>
    <x:col min="7" max="7" width="18" hidden="0" customWidth="1"/>
    <x:col min="8" max="8" width="18" hidden="0" customWidth="1"/>
    <x:col min="9" max="9" width="18" hidden="0" customWidth="1"/>
    <x:col min="10" max="10" width="18" hidden="0" customWidth="1"/>
    <x:col min="11" max="11" width="28" hidden="0" customWidth="1"/>
    <x:col min="12" max="12" width="18" hidden="0" customWidth="1"/>
    <x:col min="13" max="13" width="18" hidden="0" customWidth="1"/>
    <x:col min="14" max="14" width="18" hidden="0" customWidth="1"/>
    <x:col min="15" max="15" width="18" hidden="0" customWidth="1"/>
    <x:col min="16" max="16" width="18" hidden="0" customWidth="1"/>
    <x:col min="17" max="17" width="28" hidden="0" customWidth="1"/>
    <x:col min="18" max="18" width="18" hidden="0" customWidth="1"/>
    <x:col min="19" max="19" width="18" hidden="0" customWidth="1"/>
    <x:col min="20" max="20" width="18" hidden="0" customWidth="1"/>
    <x:col min="21" max="21" width="18" hidden="0" customWidth="1"/>
    <x:col min="22" max="22" width="18" hidden="0" customWidth="1"/>
    <x:col min="23" max="23" width="12" hidden="0" customWidth="1"/>
    <x:col min="24" max="24" width="12" hidden="0" customWidth="1"/>
    <x:col min="25" max="25" width="12" hidden="0" customWidth="1"/>
    <x:col min="26" max="26" width="28" hidden="0" customWidth="1"/>
    <x:col min="27" max="27" width="34" hidden="0" customWidth="1"/>
    <x:col min="28" max="28" width="30" hidden="0" customWidth="1"/>
  </x:cols>
  <x:sheetData>
    <x:row r="1" ht="28" customHeight="1">
      <x:c r="A1" s="371" t="str">
        <x:v>评分规则及模型参数｜Likelihood 1–5分</x:v>
      </x:c>
      <x:c r="B1" s="371"/>
      <x:c r="C1" s="371"/>
      <x:c r="D1" s="371"/>
      <x:c r="E1" s="371"/>
      <x:c r="F1" s="371"/>
      <x:c r="G1" s="371"/>
      <x:c r="H1" s="371"/>
      <x:c r="I1" s="371"/>
      <x:c r="J1" s="371"/>
      <x:c r="K1" s="371"/>
      <x:c r="L1" s="371"/>
      <x:c r="M1" s="371"/>
      <x:c r="N1" s="371"/>
      <x:c r="O1" s="371"/>
      <x:c r="P1" s="371"/>
      <x:c r="Q1" s="371"/>
      <x:c r="R1" s="371"/>
      <x:c r="S1" s="371"/>
      <x:c r="T1" s="371"/>
      <x:c r="U1" s="371"/>
      <x:c r="V1" s="371"/>
      <x:c r="W1" s="371"/>
      <x:c r="X1" s="371"/>
      <x:c r="Y1" s="371"/>
      <x:c r="Z1" s="371"/>
      <x:c r="AA1" s="371"/>
      <x:c r="AB1" s="371"/>
    </x:row>
    <x:row r="2">
      <x:c r="A2" s="376" t="str">
        <x:v>风险大类</x:v>
      </x:c>
      <x:c r="B2" s="377" t="str">
        <x:v>三级风险</x:v>
      </x:c>
      <x:c r="C2" s="377" t="str">
        <x:v>风险类型</x:v>
      </x:c>
      <x:c r="D2" s="377" t="str">
        <x:v>Level指标/基础</x:v>
      </x:c>
      <x:c r="E2" s="377" t="str">
        <x:v>Level口径</x:v>
      </x:c>
      <x:c r="F2" s="377" t="str">
        <x:v>Score 1</x:v>
      </x:c>
      <x:c r="G2" s="377" t="str">
        <x:v>Score 2</x:v>
      </x:c>
      <x:c r="H2" s="377" t="str">
        <x:v>Score 3</x:v>
      </x:c>
      <x:c r="I2" s="377" t="str">
        <x:v>Score 4</x:v>
      </x:c>
      <x:c r="J2" s="377" t="str">
        <x:v>Score 5</x:v>
      </x:c>
      <x:c r="K2" s="377" t="str">
        <x:v>Trend指标</x:v>
      </x:c>
      <x:c r="L2" s="377" t="str">
        <x:v>Trend 1</x:v>
      </x:c>
      <x:c r="M2" s="377" t="str">
        <x:v>Trend 2</x:v>
      </x:c>
      <x:c r="N2" s="377" t="str">
        <x:v>Trend 3</x:v>
      </x:c>
      <x:c r="O2" s="377" t="str">
        <x:v>Trend 4</x:v>
      </x:c>
      <x:c r="P2" s="377" t="str">
        <x:v>Trend 5</x:v>
      </x:c>
      <x:c r="Q2" s="377" t="str">
        <x:v>Event指标</x:v>
      </x:c>
      <x:c r="R2" s="377" t="str">
        <x:v>Event 1</x:v>
      </x:c>
      <x:c r="S2" s="377" t="str">
        <x:v>Event 2</x:v>
      </x:c>
      <x:c r="T2" s="377" t="str">
        <x:v>Event 3</x:v>
      </x:c>
      <x:c r="U2" s="377" t="str">
        <x:v>Event 4</x:v>
      </x:c>
      <x:c r="V2" s="377" t="str">
        <x:v>Event 5</x:v>
      </x:c>
      <x:c r="W2" s="377" t="str">
        <x:v>Level权重</x:v>
      </x:c>
      <x:c r="X2" s="377" t="str">
        <x:v>Trend权重</x:v>
      </x:c>
      <x:c r="Y2" s="377" t="str">
        <x:v>Event权重</x:v>
      </x:c>
      <x:c r="Z2" s="377" t="str">
        <x:v>Likelihood公式</x:v>
      </x:c>
      <x:c r="AA2" s="377" t="str">
        <x:v>Likelihood等级映射</x:v>
      </x:c>
      <x:c r="AB2" s="378" t="str">
        <x:v>参数状态</x:v>
      </x:c>
    </x:row>
    <x:row r="3">
      <x:c r="A3" s="379" t="str">
        <x:v>政治风险</x:v>
      </x:c>
      <x:c r="B3" s="380" t="str">
        <x:v>政治稳定性风险</x:v>
      </x:c>
      <x:c r="C3" s="380" t="str">
        <x:v>一般型</x:v>
      </x:c>
      <x:c r="D3" s="380" t="str">
        <x:v>政治稳定性指数/非正常政权更迭</x:v>
      </x:c>
      <x:c r="E3" s="380" t="str">
        <x:v>WGI政治稳定性百分位；历史政权更迭作修正</x:v>
      </x:c>
      <x:c r="F3" s="380" t="str">
        <x:v>&gt;75</x:v>
      </x:c>
      <x:c r="G3" s="380" t="str">
        <x:v>50–75</x:v>
      </x:c>
      <x:c r="H3" s="380" t="str">
        <x:v>25–50</x:v>
      </x:c>
      <x:c r="I3" s="380" t="str">
        <x:v>10–25</x:v>
      </x:c>
      <x:c r="J3" s="380" t="str">
        <x:v>&lt;10</x:v>
      </x:c>
      <x:c r="K3" s="380" t="str">
        <x:v>政治稳定性3年变化</x:v>
      </x:c>
      <x:c r="L3" s="380" t="str">
        <x:v>显著改善（+10pct以上）</x:v>
      </x:c>
      <x:c r="M3" s="380" t="str">
        <x:v>改善（+3~10pct）</x:v>
      </x:c>
      <x:c r="N3" s="380" t="str">
        <x:v>基本稳定（±3pct）</x:v>
      </x:c>
      <x:c r="O3" s="380" t="str">
        <x:v>恶化（-3~-10pct）</x:v>
      </x:c>
      <x:c r="P3" s="380" t="str">
        <x:v>显著恶化（&lt;-10pct）</x:v>
      </x:c>
      <x:c r="Q3" s="380" t="str">
        <x:v>大选/政治危机事件</x:v>
      </x:c>
      <x:c r="R3" s="380" t="str">
        <x:v>无重大事件</x:v>
      </x:c>
      <x:c r="S3" s="380" t="str">
        <x:v>常规选举且争议低</x:v>
      </x:c>
      <x:c r="T3" s="380" t="str">
        <x:v>选举临近或局部争议</x:v>
      </x:c>
      <x:c r="U3" s="380" t="str">
        <x:v>高度争议/大规模抗议</x:v>
      </x:c>
      <x:c r="V3" s="380" t="str">
        <x:v>政变、政府失灵或重大政治危机</x:v>
      </x:c>
      <x:c r="W3" s="380" t="str">
        <x:v>50%</x:v>
      </x:c>
      <x:c r="X3" s="380" t="str">
        <x:v>25%</x:v>
      </x:c>
      <x:c r="Y3" s="380" t="str">
        <x:v>25%</x:v>
      </x:c>
      <x:c r="Z3" s="380" t="str">
        <x:v>Level×50%+Trend×25%+Event×25%</x:v>
      </x:c>
      <x:c r="AA3" s="380" t="str">
        <x:v>1.00–1.49=1；1.50–2.49=2；2.50–3.49=3；3.50–4.49=4；4.50–5.00=5</x:v>
      </x:c>
      <x:c r="AB3" s="381" t="str">
        <x:v>建议初始参数，需结合客户风险偏好/历史样本校准</x:v>
      </x:c>
    </x:row>
    <x:row r="4">
      <x:c r="A4" s="379" t="str">
        <x:v>政治风险</x:v>
      </x:c>
      <x:c r="B4" s="380" t="str">
        <x:v>国家治理能力风险</x:v>
      </x:c>
      <x:c r="C4" s="380" t="str">
        <x:v>结构型</x:v>
      </x:c>
      <x:c r="D4" s="380" t="str">
        <x:v>WGI政府效能百分位</x:v>
      </x:c>
      <x:c r="E4" s="380" t="str">
        <x:v>WGI Government Effectiveness percentile</x:v>
      </x:c>
      <x:c r="F4" s="380" t="str">
        <x:v>&gt;75</x:v>
      </x:c>
      <x:c r="G4" s="380" t="str">
        <x:v>50–75</x:v>
      </x:c>
      <x:c r="H4" s="380" t="str">
        <x:v>25–50</x:v>
      </x:c>
      <x:c r="I4" s="380" t="str">
        <x:v>10–25</x:v>
      </x:c>
      <x:c r="J4" s="380" t="str">
        <x:v>&lt;10</x:v>
      </x:c>
      <x:c r="K4" s="380" t="str">
        <x:v>政府效能3年变化</x:v>
      </x:c>
      <x:c r="L4" s="380" t="str">
        <x:v>显著改善</x:v>
      </x:c>
      <x:c r="M4" s="380" t="str">
        <x:v>改善</x:v>
      </x:c>
      <x:c r="N4" s="380" t="str">
        <x:v>稳定</x:v>
      </x:c>
      <x:c r="O4" s="380" t="str">
        <x:v>恶化</x:v>
      </x:c>
      <x:c r="P4" s="380" t="str">
        <x:v>显著恶化</x:v>
      </x:c>
      <x:c r="Q4" s="380" t="str">
        <x:v>关键审批异常事件</x:v>
      </x:c>
      <x:c r="R4" s="380" t="str">
        <x:v>无</x:v>
      </x:c>
      <x:c r="S4" s="380" t="str">
        <x:v>轻微延误</x:v>
      </x:c>
      <x:c r="T4" s="380" t="str">
        <x:v>局部系统性延误</x:v>
      </x:c>
      <x:c r="U4" s="380" t="str">
        <x:v>关键审批长期停滞</x:v>
      </x:c>
      <x:c r="V4" s="380" t="str">
        <x:v>核心许可无明确解决路径</x:v>
      </x:c>
      <x:c r="W4" s="380" t="str">
        <x:v>70%</x:v>
      </x:c>
      <x:c r="X4" s="380" t="str">
        <x:v>30%</x:v>
      </x:c>
      <x:c r="Y4" s="380" t="str">
        <x:v>0%</x:v>
      </x:c>
      <x:c r="Z4" s="380" t="str">
        <x:v>Level×70%+Trend×30%</x:v>
      </x:c>
      <x:c r="AA4" s="380" t="str">
        <x:v>1.00–1.49=1；1.50–2.49=2；2.50–3.49=3；3.50–4.49=4；4.50–5.00=5</x:v>
      </x:c>
      <x:c r="AB4" s="381" t="str">
        <x:v>建议初始参数，需结合客户风险偏好/历史样本校准</x:v>
      </x:c>
    </x:row>
    <x:row r="5">
      <x:c r="A5" s="379" t="str">
        <x:v>政治风险</x:v>
      </x:c>
      <x:c r="B5" s="380" t="str">
        <x:v>战争与内乱风险</x:v>
      </x:c>
      <x:c r="C5" s="380" t="str">
        <x:v>事件型</x:v>
      </x:c>
      <x:c r="D5" s="380" t="str">
        <x:v>UCDP冲突强度+GTI</x:v>
      </x:c>
      <x:c r="E5" s="380" t="str">
        <x:v>以UCDP为主、GTI为辅</x:v>
      </x:c>
      <x:c r="F5" s="380" t="str">
        <x:v>无武装冲突且GTI低</x:v>
      </x:c>
      <x:c r="G5" s="380" t="str">
        <x:v>零星事件/GTI较低</x:v>
      </x:c>
      <x:c r="H5" s="380" t="str">
        <x:v>低强度冲突</x:v>
      </x:c>
      <x:c r="I5" s="380" t="str">
        <x:v>中高强度冲突</x:v>
      </x:c>
      <x:c r="J5" s="380" t="str">
        <x:v>高强度战争/恐袭</x:v>
      </x:c>
      <x:c r="K5" s="380" t="str">
        <x:v>冲突3年趋势</x:v>
      </x:c>
      <x:c r="L5" s="380" t="str">
        <x:v>显著缓和</x:v>
      </x:c>
      <x:c r="M5" s="380" t="str">
        <x:v>缓和</x:v>
      </x:c>
      <x:c r="N5" s="380" t="str">
        <x:v>稳定</x:v>
      </x:c>
      <x:c r="O5" s="380" t="str">
        <x:v>恶化</x:v>
      </x:c>
      <x:c r="P5" s="380" t="str">
        <x:v>快速升级</x:v>
      </x:c>
      <x:c r="Q5" s="380" t="str">
        <x:v>近90天冲突升级事件</x:v>
      </x:c>
      <x:c r="R5" s="380" t="str">
        <x:v>无</x:v>
      </x:c>
      <x:c r="S5" s="380" t="str">
        <x:v>局部紧张</x:v>
      </x:c>
      <x:c r="T5" s="380" t="str">
        <x:v>邻国外溢/局部骚乱</x:v>
      </x:c>
      <x:c r="U5" s="380" t="str">
        <x:v>政变/紧急状态/军事动员</x:v>
      </x:c>
      <x:c r="V5" s="380" t="str">
        <x:v>战争或高强度冲突已发生</x:v>
      </x:c>
      <x:c r="W5" s="380" t="str">
        <x:v>40%</x:v>
      </x:c>
      <x:c r="X5" s="380" t="str">
        <x:v>20%</x:v>
      </x:c>
      <x:c r="Y5" s="380" t="str">
        <x:v>40%</x:v>
      </x:c>
      <x:c r="Z5" s="380" t="str">
        <x:v>Level×40%+Trend×20%+Event×40%</x:v>
      </x:c>
      <x:c r="AA5" s="380" t="str">
        <x:v>1.00–1.49=1；1.50–2.49=2；2.50–3.49=3；3.50–4.49=4；4.50–5.00=5</x:v>
      </x:c>
      <x:c r="AB5" s="381" t="str">
        <x:v>建议初始参数，需结合客户风险偏好/历史样本校准</x:v>
      </x:c>
    </x:row>
    <x:row r="6">
      <x:c r="A6" s="379" t="str">
        <x:v>政治风险</x:v>
      </x:c>
      <x:c r="B6" s="380" t="str">
        <x:v>地缘政治、外交关系与国际制裁风险</x:v>
      </x:c>
      <x:c r="C6" s="380" t="str">
        <x:v>事件型</x:v>
      </x:c>
      <x:c r="D6" s="380" t="str">
        <x:v>现行制裁/外交限制状态</x:v>
      </x:c>
      <x:c r="E6" s="380" t="str">
        <x:v>现有制裁覆盖范围与强度</x:v>
      </x:c>
      <x:c r="F6" s="380" t="str">
        <x:v>无制裁</x:v>
      </x:c>
      <x:c r="G6" s="380" t="str">
        <x:v>轻微外交摩擦</x:v>
      </x:c>
      <x:c r="H6" s="380" t="str">
        <x:v>有限实体/行业制裁</x:v>
      </x:c>
      <x:c r="I6" s="380" t="str">
        <x:v>广泛金融/贸易制裁</x:v>
      </x:c>
      <x:c r="J6" s="380" t="str">
        <x:v>全面制裁/核心结算受限</x:v>
      </x:c>
      <x:c r="K6" s="380" t="str">
        <x:v>近12个月制裁净变化</x:v>
      </x:c>
      <x:c r="L6" s="380" t="str">
        <x:v>明显缓和</x:v>
      </x:c>
      <x:c r="M6" s="380" t="str">
        <x:v>缓和</x:v>
      </x:c>
      <x:c r="N6" s="380" t="str">
        <x:v>稳定</x:v>
      </x:c>
      <x:c r="O6" s="380" t="str">
        <x:v>新增限制</x:v>
      </x:c>
      <x:c r="P6" s="380" t="str">
        <x:v>快速新增/升级</x:v>
      </x:c>
      <x:c r="Q6" s="380" t="str">
        <x:v>未来制裁/外交事件</x:v>
      </x:c>
      <x:c r="R6" s="380" t="str">
        <x:v>无</x:v>
      </x:c>
      <x:c r="S6" s="380" t="str">
        <x:v>低概率讨论</x:v>
      </x:c>
      <x:c r="T6" s="380" t="str">
        <x:v>法案/措施进入讨论</x:v>
      </x:c>
      <x:c r="U6" s="380" t="str">
        <x:v>已进入立法/执行流程</x:v>
      </x:c>
      <x:c r="V6" s="380" t="str">
        <x:v>核心主体命中制裁/通道切断</x:v>
      </x:c>
      <x:c r="W6" s="380" t="str">
        <x:v>40%</x:v>
      </x:c>
      <x:c r="X6" s="380" t="str">
        <x:v>20%</x:v>
      </x:c>
      <x:c r="Y6" s="380" t="str">
        <x:v>40%</x:v>
      </x:c>
      <x:c r="Z6" s="380" t="str">
        <x:v>Level×40%+Trend×20%+Event×40%</x:v>
      </x:c>
      <x:c r="AA6" s="380" t="str">
        <x:v>1.00–1.49=1；1.50–2.49=2；2.50–3.49=3；3.50–4.49=4；4.50–5.00=5</x:v>
      </x:c>
      <x:c r="AB6" s="381" t="str">
        <x:v>建议初始参数，需结合客户风险偏好/历史样本校准</x:v>
      </x:c>
    </x:row>
    <x:row r="7">
      <x:c r="A7" s="379" t="str">
        <x:v>政治风险</x:v>
      </x:c>
      <x:c r="B7" s="380" t="str">
        <x:v>对华关系风险</x:v>
      </x:c>
      <x:c r="C7" s="380" t="str">
        <x:v>一般型</x:v>
      </x:c>
      <x:c r="D7" s="380" t="str">
        <x:v>对华限制性政策/排华事件</x:v>
      </x:c>
      <x:c r="E7" s="380" t="str">
        <x:v>滚动12个月政策与事件综合</x:v>
      </x:c>
      <x:c r="F7" s="380" t="str">
        <x:v>关系友好/无限制</x:v>
      </x:c>
      <x:c r="G7" s="380" t="str">
        <x:v>偶发负面表态</x:v>
      </x:c>
      <x:c r="H7" s="380" t="str">
        <x:v>少量限制/事件</x:v>
      </x:c>
      <x:c r="I7" s="380" t="str">
        <x:v>多项限制/审查</x:v>
      </x:c>
      <x:c r="J7" s="380" t="str">
        <x:v>系统性针对中资措施</x:v>
      </x:c>
      <x:c r="K7" s="380" t="str">
        <x:v>限制性政策同比趋势</x:v>
      </x:c>
      <x:c r="L7" s="380" t="str">
        <x:v>明显改善</x:v>
      </x:c>
      <x:c r="M7" s="380" t="str">
        <x:v>改善</x:v>
      </x:c>
      <x:c r="N7" s="380" t="str">
        <x:v>稳定</x:v>
      </x:c>
      <x:c r="O7" s="380" t="str">
        <x:v>恶化</x:v>
      </x:c>
      <x:c r="P7" s="380" t="str">
        <x:v>快速恶化</x:v>
      </x:c>
      <x:c r="Q7" s="380" t="str">
        <x:v>重大双边事件</x:v>
      </x:c>
      <x:c r="R7" s="380" t="str">
        <x:v>无</x:v>
      </x:c>
      <x:c r="S7" s="380" t="str">
        <x:v>一般摩擦</x:v>
      </x:c>
      <x:c r="T7" s="380" t="str">
        <x:v>审查/限制法案讨论</x:v>
      </x:c>
      <x:c r="U7" s="380" t="str">
        <x:v>重大外交争端/限制落地</x:v>
      </x:c>
      <x:c r="V7" s="380" t="str">
        <x:v>全面禁止/强制退出</x:v>
      </x:c>
      <x:c r="W7" s="380" t="str">
        <x:v>45%</x:v>
      </x:c>
      <x:c r="X7" s="380" t="str">
        <x:v>25%</x:v>
      </x:c>
      <x:c r="Y7" s="380" t="str">
        <x:v>30%</x:v>
      </x:c>
      <x:c r="Z7" s="380" t="str">
        <x:v>Level×45%+Trend×25%+Event×30%</x:v>
      </x:c>
      <x:c r="AA7" s="380" t="str">
        <x:v>1.00–1.49=1；1.50–2.49=2；2.50–3.49=3；3.50–4.49=4；4.50–5.00=5</x:v>
      </x:c>
      <x:c r="AB7" s="381" t="str">
        <x:v>建议初始参数，需结合客户风险偏好/历史样本校准</x:v>
      </x:c>
    </x:row>
    <x:row r="8">
      <x:c r="A8" s="379" t="str">
        <x:v>经济风险</x:v>
      </x:c>
      <x:c r="B8" s="380" t="str">
        <x:v>结构性风险</x:v>
      </x:c>
      <x:c r="C8" s="380" t="str">
        <x:v>结构型</x:v>
      </x:c>
      <x:c r="D8" s="380" t="str">
        <x:v>产业/出口集中度HHI</x:v>
      </x:c>
      <x:c r="E8" s="380" t="str">
        <x:v>产业与出口集中度综合</x:v>
      </x:c>
      <x:c r="F8" s="380" t="str">
        <x:v>高度多元化</x:v>
      </x:c>
      <x:c r="G8" s="380" t="str">
        <x:v>较多元</x:v>
      </x:c>
      <x:c r="H8" s="380" t="str">
        <x:v>中等集中</x:v>
      </x:c>
      <x:c r="I8" s="380" t="str">
        <x:v>较高集中</x:v>
      </x:c>
      <x:c r="J8" s="380" t="str">
        <x:v>高度集中</x:v>
      </x:c>
      <x:c r="K8" s="380" t="str">
        <x:v>HHI三年变化</x:v>
      </x:c>
      <x:c r="L8" s="380" t="str">
        <x:v>明显下降</x:v>
      </x:c>
      <x:c r="M8" s="380" t="str">
        <x:v>下降</x:v>
      </x:c>
      <x:c r="N8" s="380" t="str">
        <x:v>稳定</x:v>
      </x:c>
      <x:c r="O8" s="380" t="str">
        <x:v>上升</x:v>
      </x:c>
      <x:c r="P8" s="380" t="str">
        <x:v>快速上升</x:v>
      </x:c>
      <x:c r="Q8" s="380" t="str">
        <x:v>不设置</x:v>
      </x:c>
      <x:c r="R8" s="380" t="str">
        <x:v>—</x:v>
      </x:c>
      <x:c r="S8" s="380" t="str">
        <x:v>—</x:v>
      </x:c>
      <x:c r="T8" s="380" t="str">
        <x:v>—</x:v>
      </x:c>
      <x:c r="U8" s="380" t="str">
        <x:v>—</x:v>
      </x:c>
      <x:c r="V8" s="380" t="str">
        <x:v>—</x:v>
      </x:c>
      <x:c r="W8" s="380" t="str">
        <x:v>70%</x:v>
      </x:c>
      <x:c r="X8" s="380" t="str">
        <x:v>30%</x:v>
      </x:c>
      <x:c r="Y8" s="380" t="str">
        <x:v>0%</x:v>
      </x:c>
      <x:c r="Z8" s="380" t="str">
        <x:v>Level×70%+Trend×30%</x:v>
      </x:c>
      <x:c r="AA8" s="380" t="str">
        <x:v>1.00–1.49=1；1.50–2.49=2；2.50–3.49=3；3.50–4.49=4；4.50–5.00=5</x:v>
      </x:c>
      <x:c r="AB8" s="381" t="str">
        <x:v>建议初始参数，需结合客户风险偏好/历史样本校准</x:v>
      </x:c>
    </x:row>
    <x:row r="9">
      <x:c r="A9" s="379" t="str">
        <x:v>经济风险</x:v>
      </x:c>
      <x:c r="B9" s="380" t="str">
        <x:v>通货膨胀风险</x:v>
      </x:c>
      <x:c r="C9" s="380" t="str">
        <x:v>一般型</x:v>
      </x:c>
      <x:c r="D9" s="380" t="str">
        <x:v>CPI同比</x:v>
      </x:c>
      <x:c r="E9" s="380" t="str">
        <x:v>年度/滚动12个月CPI</x:v>
      </x:c>
      <x:c r="F9" s="380" t="str">
        <x:v>&lt;3%</x:v>
      </x:c>
      <x:c r="G9" s="380" t="str">
        <x:v>3–5%</x:v>
      </x:c>
      <x:c r="H9" s="380" t="str">
        <x:v>5–10%</x:v>
      </x:c>
      <x:c r="I9" s="380" t="str">
        <x:v>10–20%</x:v>
      </x:c>
      <x:c r="J9" s="380" t="str">
        <x:v>&gt;20%</x:v>
      </x:c>
      <x:c r="K9" s="380" t="str">
        <x:v>CPI趋势+IMF预测</x:v>
      </x:c>
      <x:c r="L9" s="380" t="str">
        <x:v>明显下降且预测回落</x:v>
      </x:c>
      <x:c r="M9" s="380" t="str">
        <x:v>小幅回落</x:v>
      </x:c>
      <x:c r="N9" s="380" t="str">
        <x:v>稳定</x:v>
      </x:c>
      <x:c r="O9" s="380" t="str">
        <x:v>上升</x:v>
      </x:c>
      <x:c r="P9" s="380" t="str">
        <x:v>快速上升/预测显著恶化</x:v>
      </x:c>
      <x:c r="Q9" s="380" t="str">
        <x:v>能源/食品价格冲击</x:v>
      </x:c>
      <x:c r="R9" s="380" t="str">
        <x:v>无</x:v>
      </x:c>
      <x:c r="S9" s="380" t="str">
        <x:v>轻微</x:v>
      </x:c>
      <x:c r="T9" s="380" t="str">
        <x:v>局部冲击</x:v>
      </x:c>
      <x:c r="U9" s="380" t="str">
        <x:v>重大补贴取消/价格冲击</x:v>
      </x:c>
      <x:c r="V9" s="380" t="str">
        <x:v>恶性通胀或价格失控</x:v>
      </x:c>
      <x:c r="W9" s="380" t="str">
        <x:v>50%</x:v>
      </x:c>
      <x:c r="X9" s="380" t="str">
        <x:v>35%</x:v>
      </x:c>
      <x:c r="Y9" s="380" t="str">
        <x:v>15%</x:v>
      </x:c>
      <x:c r="Z9" s="380" t="str">
        <x:v>Level×50%+Trend×35%+Event×15%</x:v>
      </x:c>
      <x:c r="AA9" s="380" t="str">
        <x:v>1.00–1.49=1；1.50–2.49=2；2.50–3.49=3；3.50–4.49=4；4.50–5.00=5</x:v>
      </x:c>
      <x:c r="AB9" s="381" t="str">
        <x:v>建议初始参数，需结合客户风险偏好/历史样本校准</x:v>
      </x:c>
    </x:row>
    <x:row r="10">
      <x:c r="A10" s="379" t="str">
        <x:v>经济风险</x:v>
      </x:c>
      <x:c r="B10" s="380" t="str">
        <x:v>基础设施风险</x:v>
      </x:c>
      <x:c r="C10" s="380" t="str">
        <x:v>一般型</x:v>
      </x:c>
      <x:c r="D10" s="380" t="str">
        <x:v>物流/电网可靠性</x:v>
      </x:c>
      <x:c r="E10" s="380" t="str">
        <x:v>LPI、电网可靠性、输配电损耗综合</x:v>
      </x:c>
      <x:c r="F10" s="380" t="str">
        <x:v>优良</x:v>
      </x:c>
      <x:c r="G10" s="380" t="str">
        <x:v>较好</x:v>
      </x:c>
      <x:c r="H10" s="380" t="str">
        <x:v>一般</x:v>
      </x:c>
      <x:c r="I10" s="380" t="str">
        <x:v>较弱</x:v>
      </x:c>
      <x:c r="J10" s="380" t="str">
        <x:v>严重不足</x:v>
      </x:c>
      <x:c r="K10" s="380" t="str">
        <x:v>可靠性三年趋势</x:v>
      </x:c>
      <x:c r="L10" s="380" t="str">
        <x:v>显著改善</x:v>
      </x:c>
      <x:c r="M10" s="380" t="str">
        <x:v>改善</x:v>
      </x:c>
      <x:c r="N10" s="380" t="str">
        <x:v>稳定</x:v>
      </x:c>
      <x:c r="O10" s="380" t="str">
        <x:v>恶化</x:v>
      </x:c>
      <x:c r="P10" s="380" t="str">
        <x:v>快速恶化</x:v>
      </x:c>
      <x:c r="Q10" s="380" t="str">
        <x:v>关键配套延期</x:v>
      </x:c>
      <x:c r="R10" s="380" t="str">
        <x:v>无</x:v>
      </x:c>
      <x:c r="S10" s="380" t="str">
        <x:v>轻微延期</x:v>
      </x:c>
      <x:c r="T10" s="380" t="str">
        <x:v>局部延期</x:v>
      </x:c>
      <x:c r="U10" s="380" t="str">
        <x:v>关键并网/港口明显延期</x:v>
      </x:c>
      <x:c r="V10" s="380" t="str">
        <x:v>关键设施无法投运且无替代</x:v>
      </x:c>
      <x:c r="W10" s="380" t="str">
        <x:v>55%</x:v>
      </x:c>
      <x:c r="X10" s="380" t="str">
        <x:v>25%</x:v>
      </x:c>
      <x:c r="Y10" s="380" t="str">
        <x:v>20%</x:v>
      </x:c>
      <x:c r="Z10" s="380" t="str">
        <x:v>Level×55%+Trend×25%+Event×20%</x:v>
      </x:c>
      <x:c r="AA10" s="380" t="str">
        <x:v>1.00–1.49=1；1.50–2.49=2；2.50–3.49=3；3.50–4.49=4；4.50–5.00=5</x:v>
      </x:c>
      <x:c r="AB10" s="381" t="str">
        <x:v>建议初始参数，需结合客户风险偏好/历史样本校准</x:v>
      </x:c>
    </x:row>
    <x:row r="11">
      <x:c r="A11" s="379" t="str">
        <x:v>经济风险</x:v>
      </x:c>
      <x:c r="B11" s="380" t="str">
        <x:v>宏观经济增长风险</x:v>
      </x:c>
      <x:c r="C11" s="380" t="str">
        <x:v>一般型</x:v>
      </x:c>
      <x:c r="D11" s="380" t="str">
        <x:v>实际GDP增速</x:v>
      </x:c>
      <x:c r="E11" s="380" t="str">
        <x:v>实际GDP增速及经济周期</x:v>
      </x:c>
      <x:c r="F11" s="380" t="str">
        <x:v>≥5%</x:v>
      </x:c>
      <x:c r="G11" s="380" t="str">
        <x:v>3–5%</x:v>
      </x:c>
      <x:c r="H11" s="380" t="str">
        <x:v>1–3%</x:v>
      </x:c>
      <x:c r="I11" s="380" t="str">
        <x:v>0–1%</x:v>
      </x:c>
      <x:c r="J11" s="380" t="str">
        <x:v>&lt;0%</x:v>
      </x:c>
      <x:c r="K11" s="380" t="str">
        <x:v>GDP三年趋势+IMF预测</x:v>
      </x:c>
      <x:c r="L11" s="380" t="str">
        <x:v>显著改善</x:v>
      </x:c>
      <x:c r="M11" s="380" t="str">
        <x:v>改善</x:v>
      </x:c>
      <x:c r="N11" s="380" t="str">
        <x:v>稳定</x:v>
      </x:c>
      <x:c r="O11" s="380" t="str">
        <x:v>持续下行</x:v>
      </x:c>
      <x:c r="P11" s="380" t="str">
        <x:v>衰退加深</x:v>
      </x:c>
      <x:c r="Q11" s="380" t="str">
        <x:v>重大衰退触发事件</x:v>
      </x:c>
      <x:c r="R11" s="380" t="str">
        <x:v>无</x:v>
      </x:c>
      <x:c r="S11" s="380" t="str">
        <x:v>轻微</x:v>
      </x:c>
      <x:c r="T11" s="380" t="str">
        <x:v>外部冲击</x:v>
      </x:c>
      <x:c r="U11" s="380" t="str">
        <x:v>金融/商品危机</x:v>
      </x:c>
      <x:c r="V11" s="380" t="str">
        <x:v>系统性经济危机</x:v>
      </x:c>
      <x:c r="W11" s="380" t="str">
        <x:v>55%</x:v>
      </x:c>
      <x:c r="X11" s="380" t="str">
        <x:v>35%</x:v>
      </x:c>
      <x:c r="Y11" s="380" t="str">
        <x:v>10%</x:v>
      </x:c>
      <x:c r="Z11" s="380" t="str">
        <x:v>Level×55%+Trend×35%+Event×10%</x:v>
      </x:c>
      <x:c r="AA11" s="380" t="str">
        <x:v>1.00–1.49=1；1.50–2.49=2；2.50–3.49=3；3.50–4.49=4；4.50–5.00=5</x:v>
      </x:c>
      <x:c r="AB11" s="381" t="str">
        <x:v>建议初始参数，需结合客户风险偏好/历史样本校准</x:v>
      </x:c>
    </x:row>
    <x:row r="12">
      <x:c r="A12" s="379" t="str">
        <x:v>经济风险</x:v>
      </x:c>
      <x:c r="B12" s="380" t="str">
        <x:v>政府财政风险</x:v>
      </x:c>
      <x:c r="C12" s="380" t="str">
        <x:v>一般型</x:v>
      </x:c>
      <x:c r="D12" s="380" t="str">
        <x:v>财政赤字率+政府债务率</x:v>
      </x:c>
      <x:c r="E12" s="380" t="str">
        <x:v>两项标准化后加权</x:v>
      </x:c>
      <x:c r="F12" s="380" t="str">
        <x:v>低债务/低赤字</x:v>
      </x:c>
      <x:c r="G12" s="380" t="str">
        <x:v>可控</x:v>
      </x:c>
      <x:c r="H12" s="380" t="str">
        <x:v>中等压力</x:v>
      </x:c>
      <x:c r="I12" s="380" t="str">
        <x:v>高压力</x:v>
      </x:c>
      <x:c r="J12" s="380" t="str">
        <x:v>极高/不可持续</x:v>
      </x:c>
      <x:c r="K12" s="380" t="str">
        <x:v>债务与赤字三年趋势</x:v>
      </x:c>
      <x:c r="L12" s="380" t="str">
        <x:v>明显改善</x:v>
      </x:c>
      <x:c r="M12" s="380" t="str">
        <x:v>改善</x:v>
      </x:c>
      <x:c r="N12" s="380" t="str">
        <x:v>稳定</x:v>
      </x:c>
      <x:c r="O12" s="380" t="str">
        <x:v>恶化</x:v>
      </x:c>
      <x:c r="P12" s="380" t="str">
        <x:v>快速恶化</x:v>
      </x:c>
      <x:c r="Q12" s="380" t="str">
        <x:v>未来12月集中偿债</x:v>
      </x:c>
      <x:c r="R12" s="380" t="str">
        <x:v>低</x:v>
      </x:c>
      <x:c r="S12" s="380" t="str">
        <x:v>较低</x:v>
      </x:c>
      <x:c r="T12" s="380" t="str">
        <x:v>中等</x:v>
      </x:c>
      <x:c r="U12" s="380" t="str">
        <x:v>较高</x:v>
      </x:c>
      <x:c r="V12" s="380" t="str">
        <x:v>极高/再融资困难</x:v>
      </x:c>
      <x:c r="W12" s="380" t="str">
        <x:v>50%</x:v>
      </x:c>
      <x:c r="X12" s="380" t="str">
        <x:v>30%</x:v>
      </x:c>
      <x:c r="Y12" s="380" t="str">
        <x:v>20%</x:v>
      </x:c>
      <x:c r="Z12" s="380" t="str">
        <x:v>Level×50%+Trend×30%+Event×20%</x:v>
      </x:c>
      <x:c r="AA12" s="380" t="str">
        <x:v>1.00–1.49=1；1.50–2.49=2；2.50–3.49=3；3.50–4.49=4；4.50–5.00=5</x:v>
      </x:c>
      <x:c r="AB12" s="381" t="str">
        <x:v>建议初始参数，需结合客户风险偏好/历史样本校准</x:v>
      </x:c>
    </x:row>
    <x:row r="13">
      <x:c r="A13" s="379" t="str">
        <x:v>经济风险</x:v>
      </x:c>
      <x:c r="B13" s="380" t="str">
        <x:v>外汇储备风险</x:v>
      </x:c>
      <x:c r="C13" s="380" t="str">
        <x:v>一般型</x:v>
      </x:c>
      <x:c r="D13" s="380" t="str">
        <x:v>外储进口覆盖月数</x:v>
      </x:c>
      <x:c r="E13" s="380" t="str">
        <x:v>月数越低风险越高</x:v>
      </x:c>
      <x:c r="F13" s="380" t="str">
        <x:v>&gt;6月</x:v>
      </x:c>
      <x:c r="G13" s="380" t="str">
        <x:v>4.5–6月</x:v>
      </x:c>
      <x:c r="H13" s="380" t="str">
        <x:v>3–4.5月</x:v>
      </x:c>
      <x:c r="I13" s="380" t="str">
        <x:v>2–3月</x:v>
      </x:c>
      <x:c r="J13" s="380" t="str">
        <x:v>&lt;2月</x:v>
      </x:c>
      <x:c r="K13" s="380" t="str">
        <x:v>外储覆盖+贸易差额趋势</x:v>
      </x:c>
      <x:c r="L13" s="380" t="str">
        <x:v>显著改善</x:v>
      </x:c>
      <x:c r="M13" s="380" t="str">
        <x:v>改善</x:v>
      </x:c>
      <x:c r="N13" s="380" t="str">
        <x:v>稳定</x:v>
      </x:c>
      <x:c r="O13" s="380" t="str">
        <x:v>恶化</x:v>
      </x:c>
      <x:c r="P13" s="380" t="str">
        <x:v>快速恶化</x:v>
      </x:c>
      <x:c r="Q13" s="380" t="str">
        <x:v>短期外债/外储压力</x:v>
      </x:c>
      <x:c r="R13" s="380" t="str">
        <x:v>&lt;30%</x:v>
      </x:c>
      <x:c r="S13" s="380" t="str">
        <x:v>30–50%</x:v>
      </x:c>
      <x:c r="T13" s="380" t="str">
        <x:v>50–80%</x:v>
      </x:c>
      <x:c r="U13" s="380" t="str">
        <x:v>80–100%</x:v>
      </x:c>
      <x:c r="V13" s="380" t="str">
        <x:v>&gt;100%</x:v>
      </x:c>
      <x:c r="W13" s="380" t="str">
        <x:v>50%</x:v>
      </x:c>
      <x:c r="X13" s="380" t="str">
        <x:v>30%</x:v>
      </x:c>
      <x:c r="Y13" s="380" t="str">
        <x:v>20%</x:v>
      </x:c>
      <x:c r="Z13" s="380" t="str">
        <x:v>Level×50%+Trend×30%+Event×20%</x:v>
      </x:c>
      <x:c r="AA13" s="380" t="str">
        <x:v>1.00–1.49=1；1.50–2.49=2；2.50–3.49=3；3.50–4.49=4；4.50–5.00=5</x:v>
      </x:c>
      <x:c r="AB13" s="381" t="str">
        <x:v>建议初始参数，需结合客户风险偏好/历史样本校准</x:v>
      </x:c>
    </x:row>
    <x:row r="14">
      <x:c r="A14" s="379" t="str">
        <x:v>经济风险</x:v>
      </x:c>
      <x:c r="B14" s="380" t="str">
        <x:v>主权信用风险</x:v>
      </x:c>
      <x:c r="C14" s="380" t="str">
        <x:v>一般型</x:v>
      </x:c>
      <x:c r="D14" s="380" t="str">
        <x:v>主权评级+CDS+外债</x:v>
      </x:c>
      <x:c r="E14" s="380" t="str">
        <x:v>多指标Level加权</x:v>
      </x:c>
      <x:c r="F14" s="380" t="str">
        <x:v>投资级高/低CDS</x:v>
      </x:c>
      <x:c r="G14" s="380" t="str">
        <x:v>投资级一般</x:v>
      </x:c>
      <x:c r="H14" s="380" t="str">
        <x:v>投机级较高</x:v>
      </x:c>
      <x:c r="I14" s="380" t="str">
        <x:v>高收益/高CDS</x:v>
      </x:c>
      <x:c r="J14" s="380" t="str">
        <x:v>违约级/极高CDS</x:v>
      </x:c>
      <x:c r="K14" s="380" t="str">
        <x:v>评级展望+CDS变化</x:v>
      </x:c>
      <x:c r="L14" s="380" t="str">
        <x:v>明显改善</x:v>
      </x:c>
      <x:c r="M14" s="380" t="str">
        <x:v>改善</x:v>
      </x:c>
      <x:c r="N14" s="380" t="str">
        <x:v>稳定</x:v>
      </x:c>
      <x:c r="O14" s="380" t="str">
        <x:v>恶化</x:v>
      </x:c>
      <x:c r="P14" s="380" t="str">
        <x:v>快速恶化</x:v>
      </x:c>
      <x:c r="Q14" s="380" t="str">
        <x:v>主权偿债事件</x:v>
      </x:c>
      <x:c r="R14" s="380" t="str">
        <x:v>无</x:v>
      </x:c>
      <x:c r="S14" s="380" t="str">
        <x:v>轻微压力</x:v>
      </x:c>
      <x:c r="T14" s="380" t="str">
        <x:v>集中到期</x:v>
      </x:c>
      <x:c r="U14" s="380" t="str">
        <x:v>重组风险高</x:v>
      </x:c>
      <x:c r="V14" s="380" t="str">
        <x:v>违约/暂停支付</x:v>
      </x:c>
      <x:c r="W14" s="380" t="str">
        <x:v>45%</x:v>
      </x:c>
      <x:c r="X14" s="380" t="str">
        <x:v>30%</x:v>
      </x:c>
      <x:c r="Y14" s="380" t="str">
        <x:v>25%</x:v>
      </x:c>
      <x:c r="Z14" s="380" t="str">
        <x:v>Level×45%+Trend×30%+Event×25%</x:v>
      </x:c>
      <x:c r="AA14" s="380" t="str">
        <x:v>1.00–1.49=1；1.50–2.49=2；2.50–3.49=3；3.50–4.49=4；4.50–5.00=5</x:v>
      </x:c>
      <x:c r="AB14" s="381" t="str">
        <x:v>建议初始参数，需结合客户风险偏好/历史样本校准</x:v>
      </x:c>
    </x:row>
    <x:row r="15">
      <x:c r="A15" s="379" t="str">
        <x:v>社会风险</x:v>
      </x:c>
      <x:c r="B15" s="380" t="str">
        <x:v>自然灾害与水文气候变化风险</x:v>
      </x:c>
      <x:c r="C15" s="380" t="str">
        <x:v>一般型</x:v>
      </x:c>
      <x:c r="D15" s="380" t="str">
        <x:v>INFORM/项目地灾害暴露</x:v>
      </x:c>
      <x:c r="E15" s="380" t="str">
        <x:v>国家指标+项目所在地暴露</x:v>
      </x:c>
      <x:c r="F15" s="380" t="str">
        <x:v>极低</x:v>
      </x:c>
      <x:c r="G15" s="380" t="str">
        <x:v>较低</x:v>
      </x:c>
      <x:c r="H15" s="380" t="str">
        <x:v>中等</x:v>
      </x:c>
      <x:c r="I15" s="380" t="str">
        <x:v>较高</x:v>
      </x:c>
      <x:c r="J15" s="380" t="str">
        <x:v>极高</x:v>
      </x:c>
      <x:c r="K15" s="380" t="str">
        <x:v>10年灾害/水文趋势</x:v>
      </x:c>
      <x:c r="L15" s="380" t="str">
        <x:v>显著改善</x:v>
      </x:c>
      <x:c r="M15" s="380" t="str">
        <x:v>改善</x:v>
      </x:c>
      <x:c r="N15" s="380" t="str">
        <x:v>稳定</x:v>
      </x:c>
      <x:c r="O15" s="380" t="str">
        <x:v>恶化</x:v>
      </x:c>
      <x:c r="P15" s="380" t="str">
        <x:v>显著恶化</x:v>
      </x:c>
      <x:c r="Q15" s="380" t="str">
        <x:v>未来季度极端天气预警</x:v>
      </x:c>
      <x:c r="R15" s="380" t="str">
        <x:v>无</x:v>
      </x:c>
      <x:c r="S15" s="380" t="str">
        <x:v>低级别</x:v>
      </x:c>
      <x:c r="T15" s="380" t="str">
        <x:v>中级别</x:v>
      </x:c>
      <x:c r="U15" s="380" t="str">
        <x:v>高级别</x:v>
      </x:c>
      <x:c r="V15" s="380" t="str">
        <x:v>红色预警/灾害已发生</x:v>
      </x:c>
      <x:c r="W15" s="380" t="str">
        <x:v>45%</x:v>
      </x:c>
      <x:c r="X15" s="380" t="str">
        <x:v>30%</x:v>
      </x:c>
      <x:c r="Y15" s="380" t="str">
        <x:v>25%</x:v>
      </x:c>
      <x:c r="Z15" s="380" t="str">
        <x:v>Level×45%+Trend×30%+Event×25%</x:v>
      </x:c>
      <x:c r="AA15" s="380" t="str">
        <x:v>1.00–1.49=1；1.50–2.49=2；2.50–3.49=3；3.50–4.49=4；4.50–5.00=5</x:v>
      </x:c>
      <x:c r="AB15" s="381" t="str">
        <x:v>建议初始参数，需结合客户风险偏好/历史样本校准</x:v>
      </x:c>
    </x:row>
    <x:row r="16">
      <x:c r="A16" s="379" t="str">
        <x:v>社会风险</x:v>
      </x:c>
      <x:c r="B16" s="380" t="str">
        <x:v>粮食与能源短缺风险</x:v>
      </x:c>
      <x:c r="C16" s="380" t="str">
        <x:v>一般型</x:v>
      </x:c>
      <x:c r="D16" s="380" t="str">
        <x:v>粮食/能源进口依赖</x:v>
      </x:c>
      <x:c r="E16" s="380" t="str">
        <x:v>进口依赖与库存综合</x:v>
      </x:c>
      <x:c r="F16" s="380" t="str">
        <x:v>低依赖/高库存</x:v>
      </x:c>
      <x:c r="G16" s="380" t="str">
        <x:v>较低</x:v>
      </x:c>
      <x:c r="H16" s="380" t="str">
        <x:v>中等</x:v>
      </x:c>
      <x:c r="I16" s="380" t="str">
        <x:v>较高</x:v>
      </x:c>
      <x:c r="J16" s="380" t="str">
        <x:v>极高依赖/低库存</x:v>
      </x:c>
      <x:c r="K16" s="380" t="str">
        <x:v>依赖与库存趋势</x:v>
      </x:c>
      <x:c r="L16" s="380" t="str">
        <x:v>改善</x:v>
      </x:c>
      <x:c r="M16" s="380" t="str">
        <x:v>小幅改善</x:v>
      </x:c>
      <x:c r="N16" s="380" t="str">
        <x:v>稳定</x:v>
      </x:c>
      <x:c r="O16" s="380" t="str">
        <x:v>恶化</x:v>
      </x:c>
      <x:c r="P16" s="380" t="str">
        <x:v>快速恶化</x:v>
      </x:c>
      <x:c r="Q16" s="380" t="str">
        <x:v>供应冲击</x:v>
      </x:c>
      <x:c r="R16" s="380" t="str">
        <x:v>无</x:v>
      </x:c>
      <x:c r="S16" s="380" t="str">
        <x:v>轻微</x:v>
      </x:c>
      <x:c r="T16" s="380" t="str">
        <x:v>主要供应国限制</x:v>
      </x:c>
      <x:c r="U16" s="380" t="str">
        <x:v>重大出口禁令</x:v>
      </x:c>
      <x:c r="V16" s="380" t="str">
        <x:v>关键燃料断供</x:v>
      </x:c>
      <x:c r="W16" s="380" t="str">
        <x:v>50%</x:v>
      </x:c>
      <x:c r="X16" s="380" t="str">
        <x:v>25%</x:v>
      </x:c>
      <x:c r="Y16" s="380" t="str">
        <x:v>25%</x:v>
      </x:c>
      <x:c r="Z16" s="380" t="str">
        <x:v>Level×50%+Trend×25%+Event×25%</x:v>
      </x:c>
      <x:c r="AA16" s="380" t="str">
        <x:v>1.00–1.49=1；1.50–2.49=2；2.50–3.49=3；3.50–4.49=4；4.50–5.00=5</x:v>
      </x:c>
      <x:c r="AB16" s="381" t="str">
        <x:v>建议初始参数，需结合客户风险偏好/历史样本校准</x:v>
      </x:c>
    </x:row>
    <x:row r="17">
      <x:c r="A17" s="379" t="str">
        <x:v>社会风险</x:v>
      </x:c>
      <x:c r="B17" s="380" t="str">
        <x:v>传染病风险</x:v>
      </x:c>
      <x:c r="C17" s="380" t="str">
        <x:v>事件型</x:v>
      </x:c>
      <x:c r="D17" s="380" t="str">
        <x:v>公共卫生韧性/当前疫情</x:v>
      </x:c>
      <x:c r="E17" s="380" t="str">
        <x:v>GHS仅作韧性背景，结合当前病例</x:v>
      </x:c>
      <x:c r="F17" s="380" t="str">
        <x:v>高韧性/无疫情</x:v>
      </x:c>
      <x:c r="G17" s="380" t="str">
        <x:v>较高韧性</x:v>
      </x:c>
      <x:c r="H17" s="380" t="str">
        <x:v>一般</x:v>
      </x:c>
      <x:c r="I17" s="380" t="str">
        <x:v>较弱/病例上升</x:v>
      </x:c>
      <x:c r="J17" s="380" t="str">
        <x:v>低韧性/严重疫情</x:v>
      </x:c>
      <x:c r="K17" s="380" t="str">
        <x:v>近4–8周病例趋势</x:v>
      </x:c>
      <x:c r="L17" s="380" t="str">
        <x:v>显著下降</x:v>
      </x:c>
      <x:c r="M17" s="380" t="str">
        <x:v>下降</x:v>
      </x:c>
      <x:c r="N17" s="380" t="str">
        <x:v>稳定</x:v>
      </x:c>
      <x:c r="O17" s="380" t="str">
        <x:v>上升</x:v>
      </x:c>
      <x:c r="P17" s="380" t="str">
        <x:v>快速上升</x:v>
      </x:c>
      <x:c r="Q17" s="380" t="str">
        <x:v>WHO/属地预警</x:v>
      </x:c>
      <x:c r="R17" s="380" t="str">
        <x:v>无</x:v>
      </x:c>
      <x:c r="S17" s="380" t="str">
        <x:v>一般关注</x:v>
      </x:c>
      <x:c r="T17" s="380" t="str">
        <x:v>中级预警</x:v>
      </x:c>
      <x:c r="U17" s="380" t="str">
        <x:v>高级预警</x:v>
      </x:c>
      <x:c r="V17" s="380" t="str">
        <x:v>全国性限制/重大疫情</x:v>
      </x:c>
      <x:c r="W17" s="380" t="str">
        <x:v>45%</x:v>
      </x:c>
      <x:c r="X17" s="380" t="str">
        <x:v>25%</x:v>
      </x:c>
      <x:c r="Y17" s="380" t="str">
        <x:v>30%</x:v>
      </x:c>
      <x:c r="Z17" s="380" t="str">
        <x:v>Level×45%+Trend×25%+Event×30%</x:v>
      </x:c>
      <x:c r="AA17" s="380" t="str">
        <x:v>1.00–1.49=1；1.50–2.49=2；2.50–3.49=3；3.50–4.49=4；4.50–5.00=5</x:v>
      </x:c>
      <x:c r="AB17" s="381" t="str">
        <x:v>建议初始参数，需结合客户风险偏好/历史样本校准</x:v>
      </x:c>
    </x:row>
    <x:row r="18">
      <x:c r="A18" s="379" t="str">
        <x:v>社会风险</x:v>
      </x:c>
      <x:c r="B18" s="380" t="str">
        <x:v>社会治安风险</x:v>
      </x:c>
      <x:c r="C18" s="380" t="str">
        <x:v>一般型</x:v>
      </x:c>
      <x:c r="D18" s="380" t="str">
        <x:v>杀人率+旅行风险+绑架</x:v>
      </x:c>
      <x:c r="E18" s="380" t="str">
        <x:v>项目所在地优先</x:v>
      </x:c>
      <x:c r="F18" s="380" t="str">
        <x:v>低</x:v>
      </x:c>
      <x:c r="G18" s="380" t="str">
        <x:v>较低</x:v>
      </x:c>
      <x:c r="H18" s="380" t="str">
        <x:v>中等</x:v>
      </x:c>
      <x:c r="I18" s="380" t="str">
        <x:v>较高</x:v>
      </x:c>
      <x:c r="J18" s="380" t="str">
        <x:v>极高</x:v>
      </x:c>
      <x:c r="K18" s="380" t="str">
        <x:v>近12月暴力犯罪趋势</x:v>
      </x:c>
      <x:c r="L18" s="380" t="str">
        <x:v>明显改善</x:v>
      </x:c>
      <x:c r="M18" s="380" t="str">
        <x:v>改善</x:v>
      </x:c>
      <x:c r="N18" s="380" t="str">
        <x:v>稳定</x:v>
      </x:c>
      <x:c r="O18" s="380" t="str">
        <x:v>恶化</x:v>
      </x:c>
      <x:c r="P18" s="380" t="str">
        <x:v>快速恶化</x:v>
      </x:c>
      <x:c r="Q18" s="380" t="str">
        <x:v>针对项目/中资安全事件</x:v>
      </x:c>
      <x:c r="R18" s="380" t="str">
        <x:v>无</x:v>
      </x:c>
      <x:c r="S18" s="380" t="str">
        <x:v>零星</x:v>
      </x:c>
      <x:c r="T18" s="380" t="str">
        <x:v>局部威胁</x:v>
      </x:c>
      <x:c r="U18" s="380" t="str">
        <x:v>明确威胁/骚乱</x:v>
      </x:c>
      <x:c r="V18" s="380" t="str">
        <x:v>绑架袭击/红色预警</x:v>
      </x:c>
      <x:c r="W18" s="380" t="str">
        <x:v>50%</x:v>
      </x:c>
      <x:c r="X18" s="380" t="str">
        <x:v>30%</x:v>
      </x:c>
      <x:c r="Y18" s="380" t="str">
        <x:v>20%</x:v>
      </x:c>
      <x:c r="Z18" s="380" t="str">
        <x:v>Level×50%+Trend×30%+Event×20%</x:v>
      </x:c>
      <x:c r="AA18" s="380" t="str">
        <x:v>1.00–1.49=1；1.50–2.49=2；2.50–3.49=3；3.50–4.49=4；4.50–5.00=5</x:v>
      </x:c>
      <x:c r="AB18" s="381" t="str">
        <x:v>建议初始参数，需结合客户风险偏好/历史样本校准</x:v>
      </x:c>
    </x:row>
    <x:row r="19">
      <x:c r="A19" s="379" t="str">
        <x:v>文化风险</x:v>
      </x:c>
      <x:c r="B19" s="380" t="str">
        <x:v>对中资品牌接纳风险</x:v>
      </x:c>
      <x:c r="C19" s="380" t="str">
        <x:v>一般型</x:v>
      </x:c>
      <x:c r="D19" s="380" t="str">
        <x:v>对华净好感度</x:v>
      </x:c>
      <x:c r="E19" s="380" t="str">
        <x:v>民调/舆情综合</x:v>
      </x:c>
      <x:c r="F19" s="380" t="str">
        <x:v>&gt;50%净好感</x:v>
      </x:c>
      <x:c r="G19" s="380" t="str">
        <x:v>20–50%</x:v>
      </x:c>
      <x:c r="H19" s="380" t="str">
        <x:v>-10–20%</x:v>
      </x:c>
      <x:c r="I19" s="380" t="str">
        <x:v>-30~-10%</x:v>
      </x:c>
      <x:c r="J19" s="380" t="str">
        <x:v>&lt;-30%</x:v>
      </x:c>
      <x:c r="K19" s="380" t="str">
        <x:v>近2–3次民调趋势</x:v>
      </x:c>
      <x:c r="L19" s="380" t="str">
        <x:v>显著改善</x:v>
      </x:c>
      <x:c r="M19" s="380" t="str">
        <x:v>改善</x:v>
      </x:c>
      <x:c r="N19" s="380" t="str">
        <x:v>稳定</x:v>
      </x:c>
      <x:c r="O19" s="380" t="str">
        <x:v>恶化</x:v>
      </x:c>
      <x:c r="P19" s="380" t="str">
        <x:v>快速恶化</x:v>
      </x:c>
      <x:c r="Q19" s="380" t="str">
        <x:v>近90天抵制/负面舆情</x:v>
      </x:c>
      <x:c r="R19" s="380" t="str">
        <x:v>无</x:v>
      </x:c>
      <x:c r="S19" s="380" t="str">
        <x:v>零星</x:v>
      </x:c>
      <x:c r="T19" s="380" t="str">
        <x:v>持续负面</x:v>
      </x:c>
      <x:c r="U19" s="380" t="str">
        <x:v>抵制/抗议</x:v>
      </x:c>
      <x:c r="V19" s="380" t="str">
        <x:v>已影响许可/运营</x:v>
      </x:c>
      <x:c r="W19" s="380" t="str">
        <x:v>50%</x:v>
      </x:c>
      <x:c r="X19" s="380" t="str">
        <x:v>30%</x:v>
      </x:c>
      <x:c r="Y19" s="380" t="str">
        <x:v>20%</x:v>
      </x:c>
      <x:c r="Z19" s="380" t="str">
        <x:v>Level×50%+Trend×30%+Event×20%</x:v>
      </x:c>
      <x:c r="AA19" s="380" t="str">
        <x:v>1.00–1.49=1；1.50–2.49=2；2.50–3.49=3；3.50–4.49=4；4.50–5.00=5</x:v>
      </x:c>
      <x:c r="AB19" s="381" t="str">
        <x:v>建议初始参数，需结合客户风险偏好/历史样本校准</x:v>
      </x:c>
    </x:row>
    <x:row r="20">
      <x:c r="A20" s="379" t="str">
        <x:v>文化风险</x:v>
      </x:c>
      <x:c r="B20" s="380" t="str">
        <x:v>语言壁垒风险</x:v>
      </x:c>
      <x:c r="C20" s="380" t="str">
        <x:v>结构型</x:v>
      </x:c>
      <x:c r="D20" s="380" t="str">
        <x:v>英语/工作语言可用性</x:v>
      </x:c>
      <x:c r="E20" s="380" t="str">
        <x:v>EF EPI+项目工作语言环境</x:v>
      </x:c>
      <x:c r="F20" s="380" t="str">
        <x:v>高度可用</x:v>
      </x:c>
      <x:c r="G20" s="380" t="str">
        <x:v>较高</x:v>
      </x:c>
      <x:c r="H20" s="380" t="str">
        <x:v>一般</x:v>
      </x:c>
      <x:c r="I20" s="380" t="str">
        <x:v>较低</x:v>
      </x:c>
      <x:c r="J20" s="380" t="str">
        <x:v>极低</x:v>
      </x:c>
      <x:c r="K20" s="380" t="str">
        <x:v>不设置</x:v>
      </x:c>
      <x:c r="L20" s="380" t="str">
        <x:v>—</x:v>
      </x:c>
      <x:c r="M20" s="380" t="str">
        <x:v>—</x:v>
      </x:c>
      <x:c r="N20" s="380" t="str">
        <x:v>—</x:v>
      </x:c>
      <x:c r="O20" s="380" t="str">
        <x:v>—</x:v>
      </x:c>
      <x:c r="P20" s="380" t="str">
        <x:v>—</x:v>
      </x:c>
      <x:c r="Q20" s="380" t="str">
        <x:v>不设置</x:v>
      </x:c>
      <x:c r="R20" s="380" t="str">
        <x:v>—</x:v>
      </x:c>
      <x:c r="S20" s="380" t="str">
        <x:v>—</x:v>
      </x:c>
      <x:c r="T20" s="380" t="str">
        <x:v>—</x:v>
      </x:c>
      <x:c r="U20" s="380" t="str">
        <x:v>—</x:v>
      </x:c>
      <x:c r="V20" s="380" t="str">
        <x:v>—</x:v>
      </x:c>
      <x:c r="W20" s="380" t="str">
        <x:v>100%</x:v>
      </x:c>
      <x:c r="X20" s="380" t="str">
        <x:v>0%</x:v>
      </x:c>
      <x:c r="Y20" s="380" t="str">
        <x:v>0%</x:v>
      </x:c>
      <x:c r="Z20" s="380" t="str">
        <x:v>Level×100%+Trend×0%</x:v>
      </x:c>
      <x:c r="AA20" s="380" t="str">
        <x:v>1.00–1.49=1；1.50–2.49=2；2.50–3.49=3；3.50–4.49=4；4.50–5.00=5</x:v>
      </x:c>
      <x:c r="AB20" s="381" t="str">
        <x:v>建议初始参数，需结合客户风险偏好/历史样本校准</x:v>
      </x:c>
    </x:row>
    <x:row r="21">
      <x:c r="A21" s="379" t="str">
        <x:v>文化风险</x:v>
      </x:c>
      <x:c r="B21" s="380" t="str">
        <x:v>宗教与文化差异风险</x:v>
      </x:c>
      <x:c r="C21" s="380" t="str">
        <x:v>结构型</x:v>
      </x:c>
      <x:c r="D21" s="380" t="str">
        <x:v>宗教社会敌对/文化约束</x:v>
      </x:c>
      <x:c r="E21" s="380" t="str">
        <x:v>SHI+业务约束程度</x:v>
      </x:c>
      <x:c r="F21" s="380" t="str">
        <x:v>低</x:v>
      </x:c>
      <x:c r="G21" s="380" t="str">
        <x:v>较低</x:v>
      </x:c>
      <x:c r="H21" s="380" t="str">
        <x:v>中等</x:v>
      </x:c>
      <x:c r="I21" s="380" t="str">
        <x:v>较高</x:v>
      </x:c>
      <x:c r="J21" s="380" t="str">
        <x:v>极高</x:v>
      </x:c>
      <x:c r="K21" s="380" t="str">
        <x:v>SHI三年变化</x:v>
      </x:c>
      <x:c r="L21" s="380" t="str">
        <x:v>改善</x:v>
      </x:c>
      <x:c r="M21" s="380" t="str">
        <x:v>小幅改善</x:v>
      </x:c>
      <x:c r="N21" s="380" t="str">
        <x:v>稳定</x:v>
      </x:c>
      <x:c r="O21" s="380" t="str">
        <x:v>恶化</x:v>
      </x:c>
      <x:c r="P21" s="380" t="str">
        <x:v>快速恶化</x:v>
      </x:c>
      <x:c r="Q21" s="380" t="str">
        <x:v>重大宗教冲突（可选）</x:v>
      </x:c>
      <x:c r="R21" s="380" t="str">
        <x:v>无</x:v>
      </x:c>
      <x:c r="S21" s="380" t="str">
        <x:v>轻微</x:v>
      </x:c>
      <x:c r="T21" s="380" t="str">
        <x:v>局部</x:v>
      </x:c>
      <x:c r="U21" s="380" t="str">
        <x:v>重大</x:v>
      </x:c>
      <x:c r="V21" s="380" t="str">
        <x:v>已严重影响经营</x:v>
      </x:c>
      <x:c r="W21" s="380" t="str">
        <x:v>70%</x:v>
      </x:c>
      <x:c r="X21" s="380" t="str">
        <x:v>30%</x:v>
      </x:c>
      <x:c r="Y21" s="380" t="str">
        <x:v>0%</x:v>
      </x:c>
      <x:c r="Z21" s="380" t="str">
        <x:v>Level×70%+Trend×30%</x:v>
      </x:c>
      <x:c r="AA21" s="380" t="str">
        <x:v>1.00–1.49=1；1.50–2.49=2；2.50–3.49=3；3.50–4.49=4；4.50–5.00=5</x:v>
      </x:c>
      <x:c r="AB21" s="381" t="str">
        <x:v>建议初始参数，需结合客户风险偏好/历史样本校准</x:v>
      </x:c>
    </x:row>
    <x:row r="22">
      <x:c r="A22" s="379" t="str">
        <x:v>网络风险</x:v>
      </x:c>
      <x:c r="B22" s="380" t="str">
        <x:v>间谍活动风险</x:v>
      </x:c>
      <x:c r="C22" s="380" t="str">
        <x:v>事件型</x:v>
      </x:c>
      <x:c r="D22" s="380" t="str">
        <x:v>国家支持型/APT攻击活跃度</x:v>
      </x:c>
      <x:c r="E22" s="380" t="str">
        <x:v>建议替换原单一网络安全能力指标</x:v>
      </x:c>
      <x:c r="F22" s="380" t="str">
        <x:v>极低</x:v>
      </x:c>
      <x:c r="G22" s="380" t="str">
        <x:v>较低</x:v>
      </x:c>
      <x:c r="H22" s="380" t="str">
        <x:v>中等</x:v>
      </x:c>
      <x:c r="I22" s="380" t="str">
        <x:v>较高</x:v>
      </x:c>
      <x:c r="J22" s="380" t="str">
        <x:v>高度活跃/定向攻击</x:v>
      </x:c>
      <x:c r="K22" s="380" t="str">
        <x:v>APT近12月趋势</x:v>
      </x:c>
      <x:c r="L22" s="380" t="str">
        <x:v>明显下降</x:v>
      </x:c>
      <x:c r="M22" s="380" t="str">
        <x:v>下降</x:v>
      </x:c>
      <x:c r="N22" s="380" t="str">
        <x:v>稳定</x:v>
      </x:c>
      <x:c r="O22" s="380" t="str">
        <x:v>上升</x:v>
      </x:c>
      <x:c r="P22" s="380" t="str">
        <x:v>快速上升</x:v>
      </x:c>
      <x:c r="Q22" s="380" t="str">
        <x:v>国家级网络攻击预警</x:v>
      </x:c>
      <x:c r="R22" s="380" t="str">
        <x:v>无</x:v>
      </x:c>
      <x:c r="S22" s="380" t="str">
        <x:v>一般</x:v>
      </x:c>
      <x:c r="T22" s="380" t="str">
        <x:v>行业预警</x:v>
      </x:c>
      <x:c r="U22" s="380" t="str">
        <x:v>明确针对能源/金融</x:v>
      </x:c>
      <x:c r="V22" s="380" t="str">
        <x:v>发现针对本项目定向APT</x:v>
      </x:c>
      <x:c r="W22" s="380" t="str">
        <x:v>40%</x:v>
      </x:c>
      <x:c r="X22" s="380" t="str">
        <x:v>30%</x:v>
      </x:c>
      <x:c r="Y22" s="380" t="str">
        <x:v>30%</x:v>
      </x:c>
      <x:c r="Z22" s="380" t="str">
        <x:v>Level×40%+Trend×30%+Event×30%</x:v>
      </x:c>
      <x:c r="AA22" s="380" t="str">
        <x:v>1.00–1.49=1；1.50–2.49=2；2.50–3.49=3；3.50–4.49=4；4.50–5.00=5</x:v>
      </x:c>
      <x:c r="AB22" s="381" t="str">
        <x:v>建议初始参数，需结合客户风险偏好/历史样本校准</x:v>
      </x:c>
    </x:row>
    <x:row r="23">
      <x:c r="A23" s="379" t="str">
        <x:v>网络风险</x:v>
      </x:c>
      <x:c r="B23" s="380" t="str">
        <x:v>网络勒索风险</x:v>
      </x:c>
      <x:c r="C23" s="380" t="str">
        <x:v>一般型</x:v>
      </x:c>
      <x:c r="D23" s="380" t="str">
        <x:v>近12月勒索事件强度</x:v>
      </x:c>
      <x:c r="E23" s="380" t="str">
        <x:v>国家+能源行业事件</x:v>
      </x:c>
      <x:c r="F23" s="380" t="str">
        <x:v>极低</x:v>
      </x:c>
      <x:c r="G23" s="380" t="str">
        <x:v>较低</x:v>
      </x:c>
      <x:c r="H23" s="380" t="str">
        <x:v>中等</x:v>
      </x:c>
      <x:c r="I23" s="380" t="str">
        <x:v>较高</x:v>
      </x:c>
      <x:c r="J23" s="380" t="str">
        <x:v>极高</x:v>
      </x:c>
      <x:c r="K23" s="380" t="str">
        <x:v>勒索事件同比趋势</x:v>
      </x:c>
      <x:c r="L23" s="380" t="str">
        <x:v>下降&gt;30%</x:v>
      </x:c>
      <x:c r="M23" s="380" t="str">
        <x:v>下降10–30%</x:v>
      </x:c>
      <x:c r="N23" s="380" t="str">
        <x:v>±10%</x:v>
      </x:c>
      <x:c r="O23" s="380" t="str">
        <x:v>上升10–30%</x:v>
      </x:c>
      <x:c r="P23" s="380" t="str">
        <x:v>上升&gt;30%</x:v>
      </x:c>
      <x:c r="Q23" s="380" t="str">
        <x:v>活跃勒索组织预警</x:v>
      </x:c>
      <x:c r="R23" s="380" t="str">
        <x:v>无</x:v>
      </x:c>
      <x:c r="S23" s="380" t="str">
        <x:v>一般</x:v>
      </x:c>
      <x:c r="T23" s="380" t="str">
        <x:v>同地区活跃</x:v>
      </x:c>
      <x:c r="U23" s="380" t="str">
        <x:v>同业集中攻击</x:v>
      </x:c>
      <x:c r="V23" s="380" t="str">
        <x:v>核心系统已受攻击</x:v>
      </x:c>
      <x:c r="W23" s="380" t="str">
        <x:v>50%</x:v>
      </x:c>
      <x:c r="X23" s="380" t="str">
        <x:v>30%</x:v>
      </x:c>
      <x:c r="Y23" s="380" t="str">
        <x:v>20%</x:v>
      </x:c>
      <x:c r="Z23" s="380" t="str">
        <x:v>Level×50%+Trend×30%+Event×20%</x:v>
      </x:c>
      <x:c r="AA23" s="380" t="str">
        <x:v>1.00–1.49=1；1.50–2.49=2；2.50–3.49=3；3.50–4.49=4；4.50–5.00=5</x:v>
      </x:c>
      <x:c r="AB23" s="381" t="str">
        <x:v>建议初始参数，需结合客户风险偏好/历史样本校准</x:v>
      </x:c>
    </x:row>
    <x:row r="24">
      <x:c r="A24" s="379" t="str">
        <x:v>网络风险</x:v>
      </x:c>
      <x:c r="B24" s="380" t="str">
        <x:v>数据泄露风险</x:v>
      </x:c>
      <x:c r="C24" s="380" t="str">
        <x:v>一般型</x:v>
      </x:c>
      <x:c r="D24" s="380" t="str">
        <x:v>近12月数据泄露事件</x:v>
      </x:c>
      <x:c r="E24" s="380" t="str">
        <x:v>国家+行业</x:v>
      </x:c>
      <x:c r="F24" s="380" t="str">
        <x:v>极低</x:v>
      </x:c>
      <x:c r="G24" s="380" t="str">
        <x:v>较低</x:v>
      </x:c>
      <x:c r="H24" s="380" t="str">
        <x:v>中等</x:v>
      </x:c>
      <x:c r="I24" s="380" t="str">
        <x:v>较高</x:v>
      </x:c>
      <x:c r="J24" s="380" t="str">
        <x:v>极高</x:v>
      </x:c>
      <x:c r="K24" s="380" t="str">
        <x:v>泄露事件同比趋势</x:v>
      </x:c>
      <x:c r="L24" s="380" t="str">
        <x:v>下降&gt;30%</x:v>
      </x:c>
      <x:c r="M24" s="380" t="str">
        <x:v>下降10–30%</x:v>
      </x:c>
      <x:c r="N24" s="380" t="str">
        <x:v>±10%</x:v>
      </x:c>
      <x:c r="O24" s="380" t="str">
        <x:v>上升10–30%</x:v>
      </x:c>
      <x:c r="P24" s="380" t="str">
        <x:v>上升&gt;30%</x:v>
      </x:c>
      <x:c r="Q24" s="380" t="str">
        <x:v>高危漏洞/供应链事件</x:v>
      </x:c>
      <x:c r="R24" s="380" t="str">
        <x:v>无</x:v>
      </x:c>
      <x:c r="S24" s="380" t="str">
        <x:v>一般</x:v>
      </x:c>
      <x:c r="T24" s="380" t="str">
        <x:v>中等</x:v>
      </x:c>
      <x:c r="U24" s="380" t="str">
        <x:v>高危</x:v>
      </x:c>
      <x:c r="V24" s="380" t="str">
        <x:v>同类机构集中泄露/已命中</x:v>
      </x:c>
      <x:c r="W24" s="380" t="str">
        <x:v>50%</x:v>
      </x:c>
      <x:c r="X24" s="380" t="str">
        <x:v>30%</x:v>
      </x:c>
      <x:c r="Y24" s="380" t="str">
        <x:v>20%</x:v>
      </x:c>
      <x:c r="Z24" s="380" t="str">
        <x:v>Level×50%+Trend×30%+Event×20%</x:v>
      </x:c>
      <x:c r="AA24" s="380" t="str">
        <x:v>1.00–1.49=1；1.50–2.49=2；2.50–3.49=3；3.50–4.49=4；4.50–5.00=5</x:v>
      </x:c>
      <x:c r="AB24" s="381" t="str">
        <x:v>建议初始参数，需结合客户风险偏好/历史样本校准</x:v>
      </x:c>
    </x:row>
    <x:row r="25">
      <x:c r="A25" s="379" t="str">
        <x:v>廉洁风险</x:v>
      </x:c>
      <x:c r="B25" s="380" t="str">
        <x:v>政府腐败风险</x:v>
      </x:c>
      <x:c r="C25" s="380" t="str">
        <x:v>结构型</x:v>
      </x:c>
      <x:c r="D25" s="380" t="str">
        <x:v>WGI控制腐败百分位</x:v>
      </x:c>
      <x:c r="E25" s="380" t="str">
        <x:v>百分位越低风险越高</x:v>
      </x:c>
      <x:c r="F25" s="380" t="str">
        <x:v>&gt;75</x:v>
      </x:c>
      <x:c r="G25" s="380" t="str">
        <x:v>50–75</x:v>
      </x:c>
      <x:c r="H25" s="380" t="str">
        <x:v>25–50</x:v>
      </x:c>
      <x:c r="I25" s="380" t="str">
        <x:v>10–25</x:v>
      </x:c>
      <x:c r="J25" s="380" t="str">
        <x:v>&lt;10</x:v>
      </x:c>
      <x:c r="K25" s="380" t="str">
        <x:v>控制腐败3年变化</x:v>
      </x:c>
      <x:c r="L25" s="380" t="str">
        <x:v>显著改善</x:v>
      </x:c>
      <x:c r="M25" s="380" t="str">
        <x:v>改善</x:v>
      </x:c>
      <x:c r="N25" s="380" t="str">
        <x:v>稳定</x:v>
      </x:c>
      <x:c r="O25" s="380" t="str">
        <x:v>恶化</x:v>
      </x:c>
      <x:c r="P25" s="380" t="str">
        <x:v>显著恶化</x:v>
      </x:c>
      <x:c r="Q25" s="380" t="str">
        <x:v>不强制设置</x:v>
      </x:c>
      <x:c r="R25" s="380" t="str">
        <x:v>—</x:v>
      </x:c>
      <x:c r="S25" s="380" t="str">
        <x:v>—</x:v>
      </x:c>
      <x:c r="T25" s="380" t="str">
        <x:v>—</x:v>
      </x:c>
      <x:c r="U25" s="380" t="str">
        <x:v>—</x:v>
      </x:c>
      <x:c r="V25" s="380" t="str">
        <x:v>—</x:v>
      </x:c>
      <x:c r="W25" s="380" t="str">
        <x:v>70%</x:v>
      </x:c>
      <x:c r="X25" s="380" t="str">
        <x:v>30%</x:v>
      </x:c>
      <x:c r="Y25" s="380" t="str">
        <x:v>0%</x:v>
      </x:c>
      <x:c r="Z25" s="380" t="str">
        <x:v>Level×70%+Trend×30%</x:v>
      </x:c>
      <x:c r="AA25" s="380" t="str">
        <x:v>1.00–1.49=1；1.50–2.49=2；2.50–3.49=3；3.50–4.49=4；4.50–5.00=5</x:v>
      </x:c>
      <x:c r="AB25" s="381" t="str">
        <x:v>建议初始参数，需结合客户风险偏好/历史样本校准</x:v>
      </x:c>
    </x:row>
    <x:row r="26">
      <x:c r="A26" s="379" t="str">
        <x:v>廉洁风险</x:v>
      </x:c>
      <x:c r="B26" s="380" t="str">
        <x:v>属地金融犯罪风险</x:v>
      </x:c>
      <x:c r="C26" s="380" t="str">
        <x:v>一般型</x:v>
      </x:c>
      <x:c r="D26" s="380" t="str">
        <x:v>欺诈/诈骗+FATF背景</x:v>
      </x:c>
      <x:c r="E26" s="380" t="str">
        <x:v>项目所在地与支付环境优先</x:v>
      </x:c>
      <x:c r="F26" s="380" t="str">
        <x:v>低</x:v>
      </x:c>
      <x:c r="G26" s="380" t="str">
        <x:v>较低</x:v>
      </x:c>
      <x:c r="H26" s="380" t="str">
        <x:v>中等</x:v>
      </x:c>
      <x:c r="I26" s="380" t="str">
        <x:v>较高</x:v>
      </x:c>
      <x:c r="J26" s="380" t="str">
        <x:v>极高</x:v>
      </x:c>
      <x:c r="K26" s="380" t="str">
        <x:v>案件/涉案金额同比</x:v>
      </x:c>
      <x:c r="L26" s="380" t="str">
        <x:v>明显下降</x:v>
      </x:c>
      <x:c r="M26" s="380" t="str">
        <x:v>下降</x:v>
      </x:c>
      <x:c r="N26" s="380" t="str">
        <x:v>稳定</x:v>
      </x:c>
      <x:c r="O26" s="380" t="str">
        <x:v>上升</x:v>
      </x:c>
      <x:c r="P26" s="380" t="str">
        <x:v>快速上升</x:v>
      </x:c>
      <x:c r="Q26" s="380" t="str">
        <x:v>针对中资/能源诈骗事件</x:v>
      </x:c>
      <x:c r="R26" s="380" t="str">
        <x:v>无</x:v>
      </x:c>
      <x:c r="S26" s="380" t="str">
        <x:v>零星</x:v>
      </x:c>
      <x:c r="T26" s="380" t="str">
        <x:v>新型诈骗出现</x:v>
      </x:c>
      <x:c r="U26" s="380" t="str">
        <x:v>集中发生</x:v>
      </x:c>
      <x:c r="V26" s="380" t="str">
        <x:v>重大诈骗/账户冻结已发生</x:v>
      </x:c>
      <x:c r="W26" s="380" t="str">
        <x:v>50%</x:v>
      </x:c>
      <x:c r="X26" s="380" t="str">
        <x:v>30%</x:v>
      </x:c>
      <x:c r="Y26" s="380" t="str">
        <x:v>20%</x:v>
      </x:c>
      <x:c r="Z26" s="380" t="str">
        <x:v>Level×50%+Trend×30%+Event×20%</x:v>
      </x:c>
      <x:c r="AA26" s="380" t="str">
        <x:v>1.00–1.49=1；1.50–2.49=2；2.50–3.49=3；3.50–4.49=4；4.50–5.00=5</x:v>
      </x:c>
      <x:c r="AB26" s="381" t="str">
        <x:v>建议初始参数，需结合客户风险偏好/历史样本校准</x:v>
      </x:c>
    </x:row>
    <x:row r="27">
      <x:c r="A27" s="379" t="str">
        <x:v>法律政策风险</x:v>
      </x:c>
      <x:c r="B27" s="380" t="str">
        <x:v>法律环境风险</x:v>
      </x:c>
      <x:c r="C27" s="380" t="str">
        <x:v>结构型</x:v>
      </x:c>
      <x:c r="D27" s="380" t="str">
        <x:v>WGI法治+仲裁执行</x:v>
      </x:c>
      <x:c r="E27" s="380" t="str">
        <x:v>司法可预期性与纽约公约执行</x:v>
      </x:c>
      <x:c r="F27" s="380" t="str">
        <x:v>高</x:v>
      </x:c>
      <x:c r="G27" s="380" t="str">
        <x:v>较高</x:v>
      </x:c>
      <x:c r="H27" s="380" t="str">
        <x:v>一般</x:v>
      </x:c>
      <x:c r="I27" s="380" t="str">
        <x:v>较弱</x:v>
      </x:c>
      <x:c r="J27" s="380" t="str">
        <x:v>极弱</x:v>
      </x:c>
      <x:c r="K27" s="380" t="str">
        <x:v>法治3年变化</x:v>
      </x:c>
      <x:c r="L27" s="380" t="str">
        <x:v>显著改善</x:v>
      </x:c>
      <x:c r="M27" s="380" t="str">
        <x:v>改善</x:v>
      </x:c>
      <x:c r="N27" s="380" t="str">
        <x:v>稳定</x:v>
      </x:c>
      <x:c r="O27" s="380" t="str">
        <x:v>恶化</x:v>
      </x:c>
      <x:c r="P27" s="380" t="str">
        <x:v>显著恶化</x:v>
      </x:c>
      <x:c r="Q27" s="380" t="str">
        <x:v>重大司法/执行政策变化</x:v>
      </x:c>
      <x:c r="R27" s="380" t="str">
        <x:v>无</x:v>
      </x:c>
      <x:c r="S27" s="380" t="str">
        <x:v>轻微</x:v>
      </x:c>
      <x:c r="T27" s="380" t="str">
        <x:v>一般</x:v>
      </x:c>
      <x:c r="U27" s="380" t="str">
        <x:v>重大不利变化</x:v>
      </x:c>
      <x:c r="V27" s="380" t="str">
        <x:v>核心救济机制失效</x:v>
      </x:c>
      <x:c r="W27" s="380" t="str">
        <x:v>70%</x:v>
      </x:c>
      <x:c r="X27" s="380" t="str">
        <x:v>30%</x:v>
      </x:c>
      <x:c r="Y27" s="380" t="str">
        <x:v>0%</x:v>
      </x:c>
      <x:c r="Z27" s="380" t="str">
        <x:v>Level×70%+Trend×30%</x:v>
      </x:c>
      <x:c r="AA27" s="380" t="str">
        <x:v>1.00–1.49=1；1.50–2.49=2；2.50–3.49=3；3.50–4.49=4；4.50–5.00=5</x:v>
      </x:c>
      <x:c r="AB27" s="381" t="str">
        <x:v>建议初始参数，需结合客户风险偏好/历史样本校准</x:v>
      </x:c>
    </x:row>
    <x:row r="28">
      <x:c r="A28" s="379" t="str">
        <x:v>法律政策风险</x:v>
      </x:c>
      <x:c r="B28" s="380" t="str">
        <x:v>外商投资政策风险</x:v>
      </x:c>
      <x:c r="C28" s="380" t="str">
        <x:v>事件型</x:v>
      </x:c>
      <x:c r="D28" s="380" t="str">
        <x:v>外资准入/安全审查强度</x:v>
      </x:c>
      <x:c r="E28" s="380" t="str">
        <x:v>目标行业适用规则</x:v>
      </x:c>
      <x:c r="F28" s="380" t="str">
        <x:v>开放</x:v>
      </x:c>
      <x:c r="G28" s="380" t="str">
        <x:v>少量申报</x:v>
      </x:c>
      <x:c r="H28" s="380" t="str">
        <x:v>部分限制</x:v>
      </x:c>
      <x:c r="I28" s="380" t="str">
        <x:v>严格限制/审查</x:v>
      </x:c>
      <x:c r="J28" s="380" t="str">
        <x:v>禁止/高度限制</x:v>
      </x:c>
      <x:c r="K28" s="380" t="str">
        <x:v>近3年限制净变化</x:v>
      </x:c>
      <x:c r="L28" s="380" t="str">
        <x:v>明显放宽</x:v>
      </x:c>
      <x:c r="M28" s="380" t="str">
        <x:v>放宽</x:v>
      </x:c>
      <x:c r="N28" s="380" t="str">
        <x:v>稳定</x:v>
      </x:c>
      <x:c r="O28" s="380" t="str">
        <x:v>收紧</x:v>
      </x:c>
      <x:c r="P28" s="380" t="str">
        <x:v>快速收紧</x:v>
      </x:c>
      <x:c r="Q28" s="380" t="str">
        <x:v>已公布待实施新规</x:v>
      </x:c>
      <x:c r="R28" s="380" t="str">
        <x:v>无</x:v>
      </x:c>
      <x:c r="S28" s="380" t="str">
        <x:v>一般讨论</x:v>
      </x:c>
      <x:c r="T28" s="380" t="str">
        <x:v>征求意见</x:v>
      </x:c>
      <x:c r="U28" s="380" t="str">
        <x:v>明确生效时间</x:v>
      </x:c>
      <x:c r="V28" s="380" t="str">
        <x:v>行业禁止/交易否决</x:v>
      </x:c>
      <x:c r="W28" s="380" t="str">
        <x:v>45%</x:v>
      </x:c>
      <x:c r="X28" s="380" t="str">
        <x:v>25%</x:v>
      </x:c>
      <x:c r="Y28" s="380" t="str">
        <x:v>30%</x:v>
      </x:c>
      <x:c r="Z28" s="380" t="str">
        <x:v>Level×45%+Trend×25%+Event×30%</x:v>
      </x:c>
      <x:c r="AA28" s="380" t="str">
        <x:v>1.00–1.49=1；1.50–2.49=2；2.50–3.49=3；3.50–4.49=4；4.50–5.00=5</x:v>
      </x:c>
      <x:c r="AB28" s="381" t="str">
        <x:v>建议初始参数，需结合客户风险偏好/历史样本校准</x:v>
      </x:c>
    </x:row>
    <x:row r="29">
      <x:c r="A29" s="379" t="str">
        <x:v>法律政策风险</x:v>
      </x:c>
      <x:c r="B29" s="380" t="str">
        <x:v>税收政策风险</x:v>
      </x:c>
      <x:c r="C29" s="380" t="str">
        <x:v>事件型</x:v>
      </x:c>
      <x:c r="D29" s="380" t="str">
        <x:v>历史税制调整+当前有效税负</x:v>
      </x:c>
      <x:c r="E29" s="380" t="str">
        <x:v>项目相关税种</x:v>
      </x:c>
      <x:c r="F29" s="380" t="str">
        <x:v>稳定/低</x:v>
      </x:c>
      <x:c r="G29" s="380" t="str">
        <x:v>较稳定</x:v>
      </x:c>
      <x:c r="H29" s="380" t="str">
        <x:v>中等</x:v>
      </x:c>
      <x:c r="I29" s="380" t="str">
        <x:v>较高</x:v>
      </x:c>
      <x:c r="J29" s="380" t="str">
        <x:v>频繁不利调整</x:v>
      </x:c>
      <x:c r="K29" s="380" t="str">
        <x:v>有效税负/税率趋势</x:v>
      </x:c>
      <x:c r="L29" s="380" t="str">
        <x:v>明显下降</x:v>
      </x:c>
      <x:c r="M29" s="380" t="str">
        <x:v>下降</x:v>
      </x:c>
      <x:c r="N29" s="380" t="str">
        <x:v>稳定</x:v>
      </x:c>
      <x:c r="O29" s="380" t="str">
        <x:v>上升</x:v>
      </x:c>
      <x:c r="P29" s="380" t="str">
        <x:v>快速上升</x:v>
      </x:c>
      <x:c r="Q29" s="380" t="str">
        <x:v>已公布/审议重大税改</x:v>
      </x:c>
      <x:c r="R29" s="380" t="str">
        <x:v>无</x:v>
      </x:c>
      <x:c r="S29" s="380" t="str">
        <x:v>初步讨论</x:v>
      </x:c>
      <x:c r="T29" s="380" t="str">
        <x:v>正式征求意见</x:v>
      </x:c>
      <x:c r="U29" s="380" t="str">
        <x:v>已通过待实施</x:v>
      </x:c>
      <x:c r="V29" s="380" t="str">
        <x:v>重大不利税改已生效</x:v>
      </x:c>
      <x:c r="W29" s="380" t="str">
        <x:v>45%</x:v>
      </x:c>
      <x:c r="X29" s="380" t="str">
        <x:v>25%</x:v>
      </x:c>
      <x:c r="Y29" s="380" t="str">
        <x:v>30%</x:v>
      </x:c>
      <x:c r="Z29" s="380" t="str">
        <x:v>Level×45%+Trend×25%+Event×30%</x:v>
      </x:c>
      <x:c r="AA29" s="380" t="str">
        <x:v>1.00–1.49=1；1.50–2.49=2；2.50–3.49=3；3.50–4.49=4；4.50–5.00=5</x:v>
      </x:c>
      <x:c r="AB29" s="381" t="str">
        <x:v>建议初始参数，需结合客户风险偏好/历史样本校准</x:v>
      </x:c>
    </x:row>
    <x:row r="30">
      <x:c r="A30" s="379" t="str">
        <x:v>法律政策风险</x:v>
      </x:c>
      <x:c r="B30" s="380" t="str">
        <x:v>环保政策风险</x:v>
      </x:c>
      <x:c r="C30" s="380" t="str">
        <x:v>事件型</x:v>
      </x:c>
      <x:c r="D30" s="380" t="str">
        <x:v>环保监管/许可/排放标准</x:v>
      </x:c>
      <x:c r="E30" s="380" t="str">
        <x:v>替换原市场准入指标</x:v>
      </x:c>
      <x:c r="F30" s="380" t="str">
        <x:v>宽松且稳定</x:v>
      </x:c>
      <x:c r="G30" s="380" t="str">
        <x:v>较低</x:v>
      </x:c>
      <x:c r="H30" s="380" t="str">
        <x:v>中等</x:v>
      </x:c>
      <x:c r="I30" s="380" t="str">
        <x:v>严格</x:v>
      </x:c>
      <x:c r="J30" s="380" t="str">
        <x:v>极严/难满足</x:v>
      </x:c>
      <x:c r="K30" s="380" t="str">
        <x:v>近3年标准收紧次数</x:v>
      </x:c>
      <x:c r="L30" s="380" t="str">
        <x:v>明显放宽</x:v>
      </x:c>
      <x:c r="M30" s="380" t="str">
        <x:v>小幅放宽</x:v>
      </x:c>
      <x:c r="N30" s="380" t="str">
        <x:v>稳定</x:v>
      </x:c>
      <x:c r="O30" s="380" t="str">
        <x:v>收紧</x:v>
      </x:c>
      <x:c r="P30" s="380" t="str">
        <x:v>快速收紧</x:v>
      </x:c>
      <x:c r="Q30" s="380" t="str">
        <x:v>已公布待实施环保新规</x:v>
      </x:c>
      <x:c r="R30" s="380" t="str">
        <x:v>无</x:v>
      </x:c>
      <x:c r="S30" s="380" t="str">
        <x:v>一般讨论</x:v>
      </x:c>
      <x:c r="T30" s="380" t="str">
        <x:v>征求意见</x:v>
      </x:c>
      <x:c r="U30" s="380" t="str">
        <x:v>明确生效</x:v>
      </x:c>
      <x:c r="V30" s="380" t="str">
        <x:v>导致项目无法合规</x:v>
      </x:c>
      <x:c r="W30" s="380" t="str">
        <x:v>45%</x:v>
      </x:c>
      <x:c r="X30" s="380" t="str">
        <x:v>25%</x:v>
      </x:c>
      <x:c r="Y30" s="380" t="str">
        <x:v>30%</x:v>
      </x:c>
      <x:c r="Z30" s="380" t="str">
        <x:v>Level×45%+Trend×25%+Event×30%</x:v>
      </x:c>
      <x:c r="AA30" s="380" t="str">
        <x:v>1.00–1.49=1；1.50–2.49=2；2.50–3.49=3；3.50–4.49=4；4.50–5.00=5</x:v>
      </x:c>
      <x:c r="AB30" s="381" t="str">
        <x:v>建议初始参数，需结合客户风险偏好/历史样本校准</x:v>
      </x:c>
    </x:row>
    <x:row r="31">
      <x:c r="A31" s="379" t="str">
        <x:v>法律政策风险</x:v>
      </x:c>
      <x:c r="B31" s="380" t="str">
        <x:v>土地政策风险</x:v>
      </x:c>
      <x:c r="C31" s="380" t="str">
        <x:v>一般型</x:v>
      </x:c>
      <x:c r="D31" s="380" t="str">
        <x:v>外资持地/租赁限制</x:v>
      </x:c>
      <x:c r="E31" s="380" t="str">
        <x:v>项目适用土地制度</x:v>
      </x:c>
      <x:c r="F31" s="380" t="str">
        <x:v>开放</x:v>
      </x:c>
      <x:c r="G31" s="380" t="str">
        <x:v>较开放</x:v>
      </x:c>
      <x:c r="H31" s="380" t="str">
        <x:v>有限限制</x:v>
      </x:c>
      <x:c r="I31" s="380" t="str">
        <x:v>严格限制</x:v>
      </x:c>
      <x:c r="J31" s="380" t="str">
        <x:v>无法取得/续期</x:v>
      </x:c>
      <x:c r="K31" s="380" t="str">
        <x:v>近3年土地政策趋势</x:v>
      </x:c>
      <x:c r="L31" s="380" t="str">
        <x:v>明显改善</x:v>
      </x:c>
      <x:c r="M31" s="380" t="str">
        <x:v>改善</x:v>
      </x:c>
      <x:c r="N31" s="380" t="str">
        <x:v>稳定</x:v>
      </x:c>
      <x:c r="O31" s="380" t="str">
        <x:v>收紧</x:v>
      </x:c>
      <x:c r="P31" s="380" t="str">
        <x:v>快速收紧</x:v>
      </x:c>
      <x:c r="Q31" s="380" t="str">
        <x:v>土地续期/用途审批事件</x:v>
      </x:c>
      <x:c r="R31" s="380" t="str">
        <x:v>无</x:v>
      </x:c>
      <x:c r="S31" s="380" t="str">
        <x:v>&gt;24月</x:v>
      </x:c>
      <x:c r="T31" s="380" t="str">
        <x:v>12–24月</x:v>
      </x:c>
      <x:c r="U31" s="380" t="str">
        <x:v>&lt;12月且不确定</x:v>
      </x:c>
      <x:c r="V31" s="380" t="str">
        <x:v>无法取得/续期</x:v>
      </x:c>
      <x:c r="W31" s="380" t="str">
        <x:v>50%</x:v>
      </x:c>
      <x:c r="X31" s="380" t="str">
        <x:v>25%</x:v>
      </x:c>
      <x:c r="Y31" s="380" t="str">
        <x:v>25%</x:v>
      </x:c>
      <x:c r="Z31" s="380" t="str">
        <x:v>Level×50%+Trend×25%+Event×25%</x:v>
      </x:c>
      <x:c r="AA31" s="380" t="str">
        <x:v>1.00–1.49=1；1.50–2.49=2；2.50–3.49=3；3.50–4.49=4；4.50–5.00=5</x:v>
      </x:c>
      <x:c r="AB31" s="381" t="str">
        <x:v>建议初始参数，需结合客户风险偏好/历史样本校准</x:v>
      </x:c>
    </x:row>
    <x:row r="32">
      <x:c r="A32" s="379" t="str">
        <x:v>法律政策风险</x:v>
      </x:c>
      <x:c r="B32" s="380" t="str">
        <x:v>劳动用工风险</x:v>
      </x:c>
      <x:c r="C32" s="380" t="str">
        <x:v>一般型</x:v>
      </x:c>
      <x:c r="D32" s="380" t="str">
        <x:v>工资/社保/本地化约束</x:v>
      </x:c>
      <x:c r="E32" s="380" t="str">
        <x:v>当前制度强度</x:v>
      </x:c>
      <x:c r="F32" s="380" t="str">
        <x:v>低</x:v>
      </x:c>
      <x:c r="G32" s="380" t="str">
        <x:v>较低</x:v>
      </x:c>
      <x:c r="H32" s="380" t="str">
        <x:v>中等</x:v>
      </x:c>
      <x:c r="I32" s="380" t="str">
        <x:v>较高</x:v>
      </x:c>
      <x:c r="J32" s="380" t="str">
        <x:v>极高</x:v>
      </x:c>
      <x:c r="K32" s="380" t="str">
        <x:v>近12月政策成本变化</x:v>
      </x:c>
      <x:c r="L32" s="380" t="str">
        <x:v>下降</x:v>
      </x:c>
      <x:c r="M32" s="380" t="str">
        <x:v>小幅下降</x:v>
      </x:c>
      <x:c r="N32" s="380" t="str">
        <x:v>稳定</x:v>
      </x:c>
      <x:c r="O32" s="380" t="str">
        <x:v>上升</x:v>
      </x:c>
      <x:c r="P32" s="380" t="str">
        <x:v>快速上升</x:v>
      </x:c>
      <x:c r="Q32" s="380" t="str">
        <x:v>已公布劳动/签证新规</x:v>
      </x:c>
      <x:c r="R32" s="380" t="str">
        <x:v>无</x:v>
      </x:c>
      <x:c r="S32" s="380" t="str">
        <x:v>轻微</x:v>
      </x:c>
      <x:c r="T32" s="380" t="str">
        <x:v>中等</x:v>
      </x:c>
      <x:c r="U32" s="380" t="str">
        <x:v>重大</x:v>
      </x:c>
      <x:c r="V32" s="380" t="str">
        <x:v>关键人员无法配置</x:v>
      </x:c>
      <x:c r="W32" s="380" t="str">
        <x:v>45%</x:v>
      </x:c>
      <x:c r="X32" s="380" t="str">
        <x:v>30%</x:v>
      </x:c>
      <x:c r="Y32" s="380" t="str">
        <x:v>25%</x:v>
      </x:c>
      <x:c r="Z32" s="380" t="str">
        <x:v>Level×45%+Trend×30%+Event×25%</x:v>
      </x:c>
      <x:c r="AA32" s="380" t="str">
        <x:v>1.00–1.49=1；1.50–2.49=2；2.50–3.49=3；3.50–4.49=4；4.50–5.00=5</x:v>
      </x:c>
      <x:c r="AB32" s="381" t="str">
        <x:v>建议初始参数，需结合客户风险偏好/历史样本校准</x:v>
      </x:c>
    </x:row>
    <x:row r="33">
      <x:c r="A33" s="379" t="str">
        <x:v>法律政策风险</x:v>
      </x:c>
      <x:c r="B33" s="380" t="str">
        <x:v>外汇管制风险</x:v>
      </x:c>
      <x:c r="C33" s="380" t="str">
        <x:v>事件型</x:v>
      </x:c>
      <x:c r="D33" s="380" t="str">
        <x:v>资本/外汇管制强度</x:v>
      </x:c>
      <x:c r="E33" s="380" t="str">
        <x:v>利润汇出、购汇、账户限制</x:v>
      </x:c>
      <x:c r="F33" s="380" t="str">
        <x:v>自由</x:v>
      </x:c>
      <x:c r="G33" s="380" t="str">
        <x:v>申报为主</x:v>
      </x:c>
      <x:c r="H33" s="380" t="str">
        <x:v>部分审批</x:v>
      </x:c>
      <x:c r="I33" s="380" t="str">
        <x:v>严格配额/审批</x:v>
      </x:c>
      <x:c r="J33" s="380" t="str">
        <x:v>暂停/严格限制</x:v>
      </x:c>
      <x:c r="K33" s="380" t="str">
        <x:v>近12月收紧+汇出周期</x:v>
      </x:c>
      <x:c r="L33" s="380" t="str">
        <x:v>明显改善</x:v>
      </x:c>
      <x:c r="M33" s="380" t="str">
        <x:v>改善</x:v>
      </x:c>
      <x:c r="N33" s="380" t="str">
        <x:v>稳定</x:v>
      </x:c>
      <x:c r="O33" s="380" t="str">
        <x:v>恶化</x:v>
      </x:c>
      <x:c r="P33" s="380" t="str">
        <x:v>快速恶化</x:v>
      </x:c>
      <x:c r="Q33" s="380" t="str">
        <x:v>外储/汇率/国际收支事件</x:v>
      </x:c>
      <x:c r="R33" s="380" t="str">
        <x:v>无</x:v>
      </x:c>
      <x:c r="S33" s="380" t="str">
        <x:v>轻微压力</x:v>
      </x:c>
      <x:c r="T33" s="380" t="str">
        <x:v>明显压力</x:v>
      </x:c>
      <x:c r="U33" s="380" t="str">
        <x:v>资本管制新政临近</x:v>
      </x:c>
      <x:c r="V33" s="380" t="str">
        <x:v>暂停/严格限制汇出</x:v>
      </x:c>
      <x:c r="W33" s="380" t="str">
        <x:v>45%</x:v>
      </x:c>
      <x:c r="X33" s="380" t="str">
        <x:v>30%</x:v>
      </x:c>
      <x:c r="Y33" s="380" t="str">
        <x:v>25%</x:v>
      </x:c>
      <x:c r="Z33" s="380" t="str">
        <x:v>Level×45%+Trend×30%+Event×25%</x:v>
      </x:c>
      <x:c r="AA33" s="380" t="str">
        <x:v>1.00–1.49=1；1.50–2.49=2；2.50–3.49=3；3.50–4.49=4；4.50–5.00=5</x:v>
      </x:c>
      <x:c r="AB33" s="381" t="str">
        <x:v>建议初始参数，需结合客户风险偏好/历史样本校准</x:v>
      </x:c>
    </x:row>
    <x:row r="34">
      <x:c r="A34" s="379" t="str">
        <x:v>法律政策风险</x:v>
      </x:c>
      <x:c r="B34" s="380" t="str">
        <x:v>国家征收风险</x:v>
      </x:c>
      <x:c r="C34" s="380" t="str">
        <x:v>事件型</x:v>
      </x:c>
      <x:c r="D34" s="380" t="str">
        <x:v>征收/强制重谈历史</x:v>
      </x:c>
      <x:c r="E34" s="380" t="str">
        <x:v>资源民族主义与政府干预</x:v>
      </x:c>
      <x:c r="F34" s="380" t="str">
        <x:v>无历史且保护强</x:v>
      </x:c>
      <x:c r="G34" s="380" t="str">
        <x:v>零星历史</x:v>
      </x:c>
      <x:c r="H34" s="380" t="str">
        <x:v>有限干预</x:v>
      </x:c>
      <x:c r="I34" s="380" t="str">
        <x:v>多次干预</x:v>
      </x:c>
      <x:c r="J34" s="380" t="str">
        <x:v>近期征收/强制国有化</x:v>
      </x:c>
      <x:c r="K34" s="380" t="str">
        <x:v>近5年干预趋势</x:v>
      </x:c>
      <x:c r="L34" s="380" t="str">
        <x:v>明显改善</x:v>
      </x:c>
      <x:c r="M34" s="380" t="str">
        <x:v>改善</x:v>
      </x:c>
      <x:c r="N34" s="380" t="str">
        <x:v>稳定</x:v>
      </x:c>
      <x:c r="O34" s="380" t="str">
        <x:v>恶化</x:v>
      </x:c>
      <x:c r="P34" s="380" t="str">
        <x:v>快速恶化</x:v>
      </x:c>
      <x:c r="Q34" s="380" t="str">
        <x:v>征收/国有化政策事件</x:v>
      </x:c>
      <x:c r="R34" s="380" t="str">
        <x:v>无</x:v>
      </x:c>
      <x:c r="S34" s="380" t="str">
        <x:v>政治表态</x:v>
      </x:c>
      <x:c r="T34" s="380" t="str">
        <x:v>政策讨论</x:v>
      </x:c>
      <x:c r="U34" s="380" t="str">
        <x:v>立法/明确措施</x:v>
      </x:c>
      <x:c r="V34" s="380" t="str">
        <x:v>征收已发生/特许权撤销</x:v>
      </x:c>
      <x:c r="W34" s="380" t="str">
        <x:v>40%</x:v>
      </x:c>
      <x:c r="X34" s="380" t="str">
        <x:v>25%</x:v>
      </x:c>
      <x:c r="Y34" s="380" t="str">
        <x:v>35%</x:v>
      </x:c>
      <x:c r="Z34" s="380" t="str">
        <x:v>Level×40%+Trend×25%+Event×35%</x:v>
      </x:c>
      <x:c r="AA34" s="380" t="str">
        <x:v>1.00–1.49=1；1.50–2.49=2；2.50–3.49=3；3.50–4.49=4；4.50–5.00=5</x:v>
      </x:c>
      <x:c r="AB34" s="381" t="str">
        <x:v>建议初始参数，需结合客户风险偏好/历史样本校准</x:v>
      </x:c>
    </x:row>
    <x:row r="35">
      <x:c r="A35" s="379" t="str">
        <x:v>准入及产业监管风险</x:v>
      </x:c>
      <x:c r="B35" s="380" t="str">
        <x:v>行业监管风险</x:v>
      </x:c>
      <x:c r="C35" s="380" t="str">
        <x:v>事件型</x:v>
      </x:c>
      <x:c r="D35" s="380" t="str">
        <x:v>电力监管/市场规则稳定性</x:v>
      </x:c>
      <x:c r="E35" s="380" t="str">
        <x:v>替换电力消费增速作为Likelihood</x:v>
      </x:c>
      <x:c r="F35" s="380" t="str">
        <x:v>稳定可预期</x:v>
      </x:c>
      <x:c r="G35" s="380" t="str">
        <x:v>较稳定</x:v>
      </x:c>
      <x:c r="H35" s="380" t="str">
        <x:v>一般</x:v>
      </x:c>
      <x:c r="I35" s="380" t="str">
        <x:v>频繁调整</x:v>
      </x:c>
      <x:c r="J35" s="380" t="str">
        <x:v>重大不利/不可预期</x:v>
      </x:c>
      <x:c r="K35" s="380" t="str">
        <x:v>近3–5年规则调整</x:v>
      </x:c>
      <x:c r="L35" s="380" t="str">
        <x:v>明显减少</x:v>
      </x:c>
      <x:c r="M35" s="380" t="str">
        <x:v>减少</x:v>
      </x:c>
      <x:c r="N35" s="380" t="str">
        <x:v>稳定</x:v>
      </x:c>
      <x:c r="O35" s="380" t="str">
        <x:v>增加</x:v>
      </x:c>
      <x:c r="P35" s="380" t="str">
        <x:v>频繁重大调整</x:v>
      </x:c>
      <x:c r="Q35" s="380" t="str">
        <x:v>已发布待实施行业规则</x:v>
      </x:c>
      <x:c r="R35" s="380" t="str">
        <x:v>无</x:v>
      </x:c>
      <x:c r="S35" s="380" t="str">
        <x:v>一般讨论</x:v>
      </x:c>
      <x:c r="T35" s="380" t="str">
        <x:v>征求意见</x:v>
      </x:c>
      <x:c r="U35" s="380" t="str">
        <x:v>明确生效</x:v>
      </x:c>
      <x:c r="V35" s="380" t="str">
        <x:v>商业模式无法继续</x:v>
      </x:c>
      <x:c r="W35" s="380" t="str">
        <x:v>45%</x:v>
      </x:c>
      <x:c r="X35" s="380" t="str">
        <x:v>25%</x:v>
      </x:c>
      <x:c r="Y35" s="380" t="str">
        <x:v>30%</x:v>
      </x:c>
      <x:c r="Z35" s="380" t="str">
        <x:v>Level×45%+Trend×25%+Event×30%</x:v>
      </x:c>
      <x:c r="AA35" s="380" t="str">
        <x:v>1.00–1.49=1；1.50–2.49=2；2.50–3.49=3；3.50–4.49=4；4.50–5.00=5</x:v>
      </x:c>
      <x:c r="AB35" s="381" t="str">
        <x:v>建议初始参数，需结合客户风险偏好/历史样本校准</x:v>
      </x:c>
    </x:row>
    <x:row r="36">
      <x:c r="A36" s="379" t="str">
        <x:v>准入及产业监管风险</x:v>
      </x:c>
      <x:c r="B36" s="380" t="str">
        <x:v>市场准入风险</x:v>
      </x:c>
      <x:c r="C36" s="380" t="str">
        <x:v>事件型</x:v>
      </x:c>
      <x:c r="D36" s="380" t="str">
        <x:v>许可/外资/本地化准入条件</x:v>
      </x:c>
      <x:c r="E36" s="380" t="str">
        <x:v>发电、售电、并网、特许经营</x:v>
      </x:c>
      <x:c r="F36" s="380" t="str">
        <x:v>容易满足</x:v>
      </x:c>
      <x:c r="G36" s="380" t="str">
        <x:v>较易</x:v>
      </x:c>
      <x:c r="H36" s="380" t="str">
        <x:v>中等</x:v>
      </x:c>
      <x:c r="I36" s="380" t="str">
        <x:v>严格</x:v>
      </x:c>
      <x:c r="J36" s="380" t="str">
        <x:v>无法满足</x:v>
      </x:c>
      <x:c r="K36" s="380" t="str">
        <x:v>近3年准入收紧</x:v>
      </x:c>
      <x:c r="L36" s="380" t="str">
        <x:v>明显放宽</x:v>
      </x:c>
      <x:c r="M36" s="380" t="str">
        <x:v>放宽</x:v>
      </x:c>
      <x:c r="N36" s="380" t="str">
        <x:v>稳定</x:v>
      </x:c>
      <x:c r="O36" s="380" t="str">
        <x:v>收紧</x:v>
      </x:c>
      <x:c r="P36" s="380" t="str">
        <x:v>快速收紧</x:v>
      </x:c>
      <x:c r="Q36" s="380" t="str">
        <x:v>核心许可申请/续期事件</x:v>
      </x:c>
      <x:c r="R36" s="380" t="str">
        <x:v>无</x:v>
      </x:c>
      <x:c r="S36" s="380" t="str">
        <x:v>&gt;24月</x:v>
      </x:c>
      <x:c r="T36" s="380" t="str">
        <x:v>12–24月</x:v>
      </x:c>
      <x:c r="U36" s="380" t="str">
        <x:v>&lt;12月且不确定</x:v>
      </x:c>
      <x:c r="V36" s="380" t="str">
        <x:v>许可无法取得/续期</x:v>
      </x:c>
      <x:c r="W36" s="380" t="str">
        <x:v>45%</x:v>
      </x:c>
      <x:c r="X36" s="380" t="str">
        <x:v>25%</x:v>
      </x:c>
      <x:c r="Y36" s="380" t="str">
        <x:v>30%</x:v>
      </x:c>
      <x:c r="Z36" s="380" t="str">
        <x:v>Level×45%+Trend×25%+Event×30%</x:v>
      </x:c>
      <x:c r="AA36" s="380" t="str">
        <x:v>1.00–1.49=1；1.50–2.49=2；2.50–3.49=3；3.50–4.49=4；4.50–5.00=5</x:v>
      </x:c>
      <x:c r="AB36" s="381" t="str">
        <x:v>建议初始参数，需结合客户风险偏好/历史样本校准</x:v>
      </x:c>
    </x:row>
    <x:row r="37">
      <x:c r="A37" s="379" t="str">
        <x:v>准入及产业监管风险</x:v>
      </x:c>
      <x:c r="B37" s="380" t="str">
        <x:v>行业投资优惠政策风险</x:v>
      </x:c>
      <x:c r="C37" s="380" t="str">
        <x:v>事件型</x:v>
      </x:c>
      <x:c r="D37" s="380" t="str">
        <x:v>优惠政策稳定性/兑现率</x:v>
      </x:c>
      <x:c r="E37" s="380" t="str">
        <x:v>补贴、税惠、土地、融资支持</x:v>
      </x:c>
      <x:c r="F37" s="380" t="str">
        <x:v>稳定兑现</x:v>
      </x:c>
      <x:c r="G37" s="380" t="str">
        <x:v>较稳定</x:v>
      </x:c>
      <x:c r="H37" s="380" t="str">
        <x:v>部分延迟</x:v>
      </x:c>
      <x:c r="I37" s="380" t="str">
        <x:v>明显削减/延迟</x:v>
      </x:c>
      <x:c r="J37" s="380" t="str">
        <x:v>取消/长期不兑现</x:v>
      </x:c>
      <x:c r="K37" s="380" t="str">
        <x:v>近3年优惠力度趋势</x:v>
      </x:c>
      <x:c r="L37" s="380" t="str">
        <x:v>明显改善</x:v>
      </x:c>
      <x:c r="M37" s="380" t="str">
        <x:v>改善</x:v>
      </x:c>
      <x:c r="N37" s="380" t="str">
        <x:v>稳定</x:v>
      </x:c>
      <x:c r="O37" s="380" t="str">
        <x:v>削减</x:v>
      </x:c>
      <x:c r="P37" s="380" t="str">
        <x:v>快速退坡</x:v>
      </x:c>
      <x:c r="Q37" s="380" t="str">
        <x:v>已公布退坡/到期</x:v>
      </x:c>
      <x:c r="R37" s="380" t="str">
        <x:v>无</x:v>
      </x:c>
      <x:c r="S37" s="380" t="str">
        <x:v>&gt;24月</x:v>
      </x:c>
      <x:c r="T37" s="380" t="str">
        <x:v>12–24月</x:v>
      </x:c>
      <x:c r="U37" s="380" t="str">
        <x:v>&lt;12月</x:v>
      </x:c>
      <x:c r="V37" s="380" t="str">
        <x:v>核心优惠取消且无替代</x:v>
      </x:c>
      <x:c r="W37" s="380" t="str">
        <x:v>45%</x:v>
      </x:c>
      <x:c r="X37" s="380" t="str">
        <x:v>25%</x:v>
      </x:c>
      <x:c r="Y37" s="380" t="str">
        <x:v>30%</x:v>
      </x:c>
      <x:c r="Z37" s="380" t="str">
        <x:v>Level×45%+Trend×25%+Event×30%</x:v>
      </x:c>
      <x:c r="AA37" s="380" t="str">
        <x:v>1.00–1.49=1；1.50–2.49=2；2.50–3.49=3；3.50–4.49=4；4.50–5.00=5</x:v>
      </x:c>
      <x:c r="AB37" s="381" t="str">
        <x:v>建议初始参数，需结合客户风险偏好/历史样本校准</x:v>
      </x:c>
    </x:row>
    <x:row r="38">
      <x:c r="A38" s="382" t="str">
        <x:v>准入及产业监管风险</x:v>
      </x:c>
      <x:c r="B38" s="383" t="str">
        <x:v>指导电价风险</x:v>
      </x:c>
      <x:c r="C38" s="383" t="str">
        <x:v>事件型</x:v>
      </x:c>
      <x:c r="D38" s="383" t="str">
        <x:v>历史电价干预/调价机制</x:v>
      </x:c>
      <x:c r="E38" s="383" t="str">
        <x:v>成本回收率移至Impact</x:v>
      </x:c>
      <x:c r="F38" s="383" t="str">
        <x:v>市场化/自动联动</x:v>
      </x:c>
      <x:c r="G38" s="383" t="str">
        <x:v>较灵活</x:v>
      </x:c>
      <x:c r="H38" s="383" t="str">
        <x:v>部分管制</x:v>
      </x:c>
      <x:c r="I38" s="383" t="str">
        <x:v>强管制/调整滞后</x:v>
      </x:c>
      <x:c r="J38" s="383" t="str">
        <x:v>冻结/强制降价</x:v>
      </x:c>
      <x:c r="K38" s="383" t="str">
        <x:v>电价涨幅-成本涨幅趋势</x:v>
      </x:c>
      <x:c r="L38" s="383" t="str">
        <x:v>明显改善</x:v>
      </x:c>
      <x:c r="M38" s="383" t="str">
        <x:v>改善</x:v>
      </x:c>
      <x:c r="N38" s="383" t="str">
        <x:v>基本匹配</x:v>
      </x:c>
      <x:c r="O38" s="383" t="str">
        <x:v>持续负缺口</x:v>
      </x:c>
      <x:c r="P38" s="383" t="str">
        <x:v>负缺口快速扩大</x:v>
      </x:c>
      <x:c r="Q38" s="383" t="str">
        <x:v>已公布电价改革/冻结</x:v>
      </x:c>
      <x:c r="R38" s="383" t="str">
        <x:v>无</x:v>
      </x:c>
      <x:c r="S38" s="383" t="str">
        <x:v>一般讨论</x:v>
      </x:c>
      <x:c r="T38" s="383" t="str">
        <x:v>征求意见</x:v>
      </x:c>
      <x:c r="U38" s="383" t="str">
        <x:v>明确实施</x:v>
      </x:c>
      <x:c r="V38" s="383" t="str">
        <x:v>冻结/强制降价已发生</x:v>
      </x:c>
      <x:c r="W38" s="383" t="str">
        <x:v>45%</x:v>
      </x:c>
      <x:c r="X38" s="383" t="str">
        <x:v>30%</x:v>
      </x:c>
      <x:c r="Y38" s="383" t="str">
        <x:v>25%</x:v>
      </x:c>
      <x:c r="Z38" s="383" t="str">
        <x:v>Level×45%+Trend×30%+Event×25%</x:v>
      </x:c>
      <x:c r="AA38" s="383" t="str">
        <x:v>1.00–1.49=1；1.50–2.49=2；2.50–3.49=3；3.50–4.49=4；4.50–5.00=5</x:v>
      </x:c>
      <x:c r="AB38" s="384" t="str">
        <x:v>建议初始参数，需结合客户风险偏好/历史样本校准</x:v>
      </x:c>
    </x:row>
    <x:row r="39">
      <x:c r="A39" s="390" t="str">
        <x:v>使用说明：本表为模型初始参数字典。Score 1–5均遵循“分数越高=风险越高”。定量阈值应在获得客户历史损失、风险事件样本及风险偏好后进行回测/校准；无充分样本时保留专家判断并记录版本。</x:v>
      </x:c>
    </x:row>
  </x:sheetData>
  <x:mergeCells>
    <x:mergeCell ref="A1:AB1"/>
    <x:mergeCell ref="A39:AB40"/>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32" hidden="0" customWidth="1"/>
    <x:col min="3" max="3" width="38" hidden="0" customWidth="1"/>
    <x:col min="4" max="4" width="22" hidden="0" customWidth="1"/>
    <x:col min="5" max="5" width="22" hidden="0" customWidth="1"/>
    <x:col min="6" max="6" width="22" hidden="0" customWidth="1"/>
    <x:col min="7" max="7" width="22" hidden="0" customWidth="1"/>
    <x:col min="8" max="8" width="24" hidden="0" customWidth="1"/>
    <x:col min="9" max="9" width="34" hidden="0" customWidth="1"/>
    <x:col min="10" max="10" width="28" hidden="0" customWidth="1"/>
    <x:col min="11" max="11" width="30" hidden="0" customWidth="1"/>
  </x:cols>
  <x:sheetData>
    <x:row r="1" ht="28" customHeight="1">
      <x:c r="A1" s="371" t="str">
        <x:v>Impact评分规则｜项目暴露与损失后果 1–5分</x:v>
      </x:c>
      <x:c r="B1" s="371"/>
      <x:c r="C1" s="371"/>
      <x:c r="D1" s="371"/>
      <x:c r="E1" s="371"/>
      <x:c r="F1" s="371"/>
      <x:c r="G1" s="371"/>
      <x:c r="H1" s="371"/>
      <x:c r="I1" s="371"/>
      <x:c r="J1" s="371"/>
      <x:c r="K1" s="371"/>
    </x:row>
    <x:row r="2">
      <x:c r="A2" s="376" t="str">
        <x:v>三级风险</x:v>
      </x:c>
      <x:c r="B2" s="377" t="str">
        <x:v>Impact核心驱动因素</x:v>
      </x:c>
      <x:c r="C2" s="377" t="str">
        <x:v>计算方式/口径</x:v>
      </x:c>
      <x:c r="D2" s="377" t="str">
        <x:v>Impact 1</x:v>
      </x:c>
      <x:c r="E2" s="377" t="str">
        <x:v>Impact 2</x:v>
      </x:c>
      <x:c r="F2" s="377" t="str">
        <x:v>Impact 3</x:v>
      </x:c>
      <x:c r="G2" s="377" t="str">
        <x:v>Impact 4</x:v>
      </x:c>
      <x:c r="H2" s="377" t="str">
        <x:v>Impact 5</x:v>
      </x:c>
      <x:c r="I2" s="377" t="str">
        <x:v>红线/Floor规则</x:v>
      </x:c>
      <x:c r="J2" s="377" t="str">
        <x:v>建议统一分母</x:v>
      </x:c>
      <x:c r="K2" s="378" t="str">
        <x:v>参数状态</x:v>
      </x:c>
    </x:row>
    <x:row r="3">
      <x:c r="A3" s="379" t="str">
        <x:v>政治稳定性风险</x:v>
      </x:c>
      <x:c r="B3" s="380" t="str">
        <x:v>经营中断+收入/现金流+应急支出</x:v>
      </x:c>
      <x:c r="C3" s="380" t="str">
        <x:v>40%运营+40%财务+20%应急</x:v>
      </x:c>
      <x:c r="D3" s="380" t="str">
        <x:v>停工&lt;1天且损失&lt;1% EBITDA</x:v>
      </x:c>
      <x:c r="E3" s="380" t="str">
        <x:v>1–7天或损失1–3%</x:v>
      </x:c>
      <x:c r="F3" s="380" t="str">
        <x:v>7–30天或损失3–10%</x:v>
      </x:c>
      <x:c r="G3" s="380" t="str">
        <x:v>1–3月或损失10–20%</x:v>
      </x:c>
      <x:c r="H3" s="380" t="str">
        <x:v>&gt;3月或损失&gt;20%/无法经营</x:v>
      </x:c>
      <x:c r="I3" s="380" t="str">
        <x:v>政变/政府失灵导致核心运营中断→I≥4</x:v>
      </x:c>
      <x:c r="J3" s="380" t="str">
        <x:v>按该风险最直接的项目暴露口径</x:v>
      </x:c>
      <x:c r="K3" s="381" t="str">
        <x:v>建议初始参数，需结合客户风险承受度校准</x:v>
      </x:c>
    </x:row>
    <x:row r="4">
      <x:c r="A4" s="379" t="str">
        <x:v>国家治理能力风险</x:v>
      </x:c>
      <x:c r="B4" s="380" t="str">
        <x:v>审批延误及延期成本</x:v>
      </x:c>
      <x:c r="C4" s="380" t="str">
        <x:v>延期月数×月均固定成本；损失/总投资</x:v>
      </x:c>
      <x:c r="D4" s="380" t="str">
        <x:v>&lt;1月且&lt;0.5%投资</x:v>
      </x:c>
      <x:c r="E4" s="380" t="str">
        <x:v>1–3月或0.5–1%</x:v>
      </x:c>
      <x:c r="F4" s="380" t="str">
        <x:v>3–6月或1–3%</x:v>
      </x:c>
      <x:c r="G4" s="380" t="str">
        <x:v>6–12月或3–5%</x:v>
      </x:c>
      <x:c r="H4" s="380" t="str">
        <x:v>&gt;12月/核心许可无路径/&gt;5%</x:v>
      </x:c>
      <x:c r="I4" s="380" t="str">
        <x:v>核心许可长期无法取得→I≥4</x:v>
      </x:c>
      <x:c r="J4" s="380" t="str">
        <x:v>项目总投资</x:v>
      </x:c>
      <x:c r="K4" s="381" t="str">
        <x:v>建议初始参数，需结合客户风险承受度校准</x:v>
      </x:c>
    </x:row>
    <x:row r="5">
      <x:c r="A5" s="379" t="str">
        <x:v>战争与内乱风险</x:v>
      </x:c>
      <x:c r="B5" s="380" t="str">
        <x:v>停运+人员+资产+资金</x:v>
      </x:c>
      <x:c r="C5" s="380" t="str">
        <x:v>30%运营+30%人员+25%资产+15%资金</x:v>
      </x:c>
      <x:c r="D5" s="380" t="str">
        <x:v>无实质影响</x:v>
      </x:c>
      <x:c r="E5" s="380" t="str">
        <x:v>局部短期影响</x:v>
      </x:c>
      <x:c r="F5" s="380" t="str">
        <x:v>明显停工/局部资产损失</x:v>
      </x:c>
      <x:c r="G5" s="380" t="str">
        <x:v>长期停工/重大人员资产暴露</x:v>
      </x:c>
      <x:c r="H5" s="380" t="str">
        <x:v>人员生命威胁/资产重大毁损/退出</x:v>
      </x:c>
      <x:c r="I5" s="380" t="str">
        <x:v>项目所在地战争区→I≥4；重大伤亡/退出→5</x:v>
      </x:c>
      <x:c r="J5" s="380" t="str">
        <x:v>按该风险最直接的项目暴露口径</x:v>
      </x:c>
      <x:c r="K5" s="381" t="str">
        <x:v>建议初始参数，需结合客户风险承受度校准</x:v>
      </x:c>
    </x:row>
    <x:row r="6">
      <x:c r="A6" s="379" t="str">
        <x:v>地缘政治、外交关系与国际制裁风险</x:v>
      </x:c>
      <x:c r="B6" s="380" t="str">
        <x:v>清算+交易对手+替代通道</x:v>
      </x:c>
      <x:c r="C6" s="380" t="str">
        <x:v>40%美元清算依赖+30%受制裁交易暴露+30%替代不足</x:v>
      </x:c>
      <x:c r="D6" s="380" t="str">
        <x:v>暴露&lt;5%且可替代</x:v>
      </x:c>
      <x:c r="E6" s="380" t="str">
        <x:v>5–10%</x:v>
      </x:c>
      <x:c r="F6" s="380" t="str">
        <x:v>10–25%</x:v>
      </x:c>
      <x:c r="G6" s="380" t="str">
        <x:v>25–50%</x:v>
      </x:c>
      <x:c r="H6" s="380" t="str">
        <x:v>&gt;50%或核心通道切断</x:v>
      </x:c>
      <x:c r="I6" s="380" t="str">
        <x:v>核心结算通道切断/主体命中制裁→5</x:v>
      </x:c>
      <x:c r="J6" s="380" t="str">
        <x:v>按该风险最直接的项目暴露口径</x:v>
      </x:c>
      <x:c r="K6" s="381" t="str">
        <x:v>建议初始参数，需结合客户风险承受度校准</x:v>
      </x:c>
    </x:row>
    <x:row r="7">
      <x:c r="A7" s="379" t="str">
        <x:v>对华关系风险</x:v>
      </x:c>
      <x:c r="B7" s="380" t="str">
        <x:v>中资身份敏感资产/审批/融资供应链</x:v>
      </x:c>
      <x:c r="C7" s="380" t="str">
        <x:v>40%资产+30%审批+30%依赖</x:v>
      </x:c>
      <x:c r="D7" s="380" t="str">
        <x:v>暴露&lt;5%</x:v>
      </x:c>
      <x:c r="E7" s="380" t="str">
        <x:v>5–10%</x:v>
      </x:c>
      <x:c r="F7" s="380" t="str">
        <x:v>10–25%</x:v>
      </x:c>
      <x:c r="G7" s="380" t="str">
        <x:v>25–50%</x:v>
      </x:c>
      <x:c r="H7" s="380" t="str">
        <x:v>&gt;50%/强制退出</x:v>
      </x:c>
      <x:c r="I7" s="380" t="str">
        <x:v>系统性禁止中资/强制退出→5</x:v>
      </x:c>
      <x:c r="J7" s="380" t="str">
        <x:v>按该风险最直接的项目暴露口径</x:v>
      </x:c>
      <x:c r="K7" s="381" t="str">
        <x:v>建议初始参数，需结合客户风险承受度校准</x:v>
      </x:c>
    </x:row>
    <x:row r="8">
      <x:c r="A8" s="379" t="str">
        <x:v>结构性风险</x:v>
      </x:c>
      <x:c r="B8" s="380" t="str">
        <x:v>收入/购电方对集中行业暴露</x:v>
      </x:c>
      <x:c r="C8" s="380" t="str">
        <x:v>高集中行业相关收入占比</x:v>
      </x:c>
      <x:c r="D8" s="380" t="str">
        <x:v>&lt;10%</x:v>
      </x:c>
      <x:c r="E8" s="380" t="str">
        <x:v>10–25%</x:v>
      </x:c>
      <x:c r="F8" s="380" t="str">
        <x:v>25–50%</x:v>
      </x:c>
      <x:c r="G8" s="380" t="str">
        <x:v>50–75%</x:v>
      </x:c>
      <x:c r="H8" s="380" t="str">
        <x:v>&gt;75%</x:v>
      </x:c>
      <x:c r="I8" s="380" t="str">
        <x:v>核心购电方高度依赖单一衰退行业→I≥4</x:v>
      </x:c>
      <x:c r="J8" s="380" t="str">
        <x:v>按该风险最直接的项目暴露口径</x:v>
      </x:c>
      <x:c r="K8" s="381" t="str">
        <x:v>建议初始参数，需结合客户风险承受度校准</x:v>
      </x:c>
    </x:row>
    <x:row r="9">
      <x:c r="A9" s="379" t="str">
        <x:v>通货膨胀风险</x:v>
      </x:c>
      <x:c r="B9" s="380" t="str">
        <x:v>不可转嫁成本及利润侵蚀</x:v>
      </x:c>
      <x:c r="C9" s="380" t="str">
        <x:v>(预测成本上涨-可转嫁金额)/EBITDA</x:v>
      </x:c>
      <x:c r="D9" s="380" t="str">
        <x:v>&lt;1%</x:v>
      </x:c>
      <x:c r="E9" s="380" t="str">
        <x:v>1–3%</x:v>
      </x:c>
      <x:c r="F9" s="380" t="str">
        <x:v>3–10%</x:v>
      </x:c>
      <x:c r="G9" s="380" t="str">
        <x:v>10–20%</x:v>
      </x:c>
      <x:c r="H9" s="380" t="str">
        <x:v>&gt;20%</x:v>
      </x:c>
      <x:c r="I9" s="380" t="str">
        <x:v>无法转嫁且&gt;20% EBITDA→5</x:v>
      </x:c>
      <x:c r="J9" s="380" t="str">
        <x:v>运营期优先EBITDA/自由现金流；建设期优先项目总投资</x:v>
      </x:c>
      <x:c r="K9" s="381" t="str">
        <x:v>建议初始参数，需结合客户风险承受度校准</x:v>
      </x:c>
    </x:row>
    <x:row r="10">
      <x:c r="A10" s="379" t="str">
        <x:v>基础设施风险</x:v>
      </x:c>
      <x:c r="B10" s="380" t="str">
        <x:v>停运/并网延期+替代成本</x:v>
      </x:c>
      <x:c r="C10" s="380" t="str">
        <x:v>时间损失×单位收入+替代成本；/EBITDA或投资</x:v>
      </x:c>
      <x:c r="D10" s="380" t="str">
        <x:v>&lt;1%或&lt;1天</x:v>
      </x:c>
      <x:c r="E10" s="380" t="str">
        <x:v>1–3%或1–7天</x:v>
      </x:c>
      <x:c r="F10" s="380" t="str">
        <x:v>3–10%或7–30天</x:v>
      </x:c>
      <x:c r="G10" s="380" t="str">
        <x:v>10–20%或1–3月</x:v>
      </x:c>
      <x:c r="H10" s="380" t="str">
        <x:v>&gt;20%或&gt;3月/无替代</x:v>
      </x:c>
      <x:c r="I10" s="380" t="str">
        <x:v>关键并网设施无替代→I≥4</x:v>
      </x:c>
      <x:c r="J10" s="380" t="str">
        <x:v>运营期优先EBITDA/自由现金流；建设期优先项目总投资</x:v>
      </x:c>
      <x:c r="K10" s="381" t="str">
        <x:v>建议初始参数，需结合客户风险承受度校准</x:v>
      </x:c>
    </x:row>
    <x:row r="11">
      <x:c r="A11" s="379" t="str">
        <x:v>宏观经济增长风险</x:v>
      </x:c>
      <x:c r="B11" s="380" t="str">
        <x:v>需求/现金流下降</x:v>
      </x:c>
      <x:c r="C11" s="380" t="str">
        <x:v>预计经营现金流下降比例</x:v>
      </x:c>
      <x:c r="D11" s="380" t="str">
        <x:v>&lt;3%</x:v>
      </x:c>
      <x:c r="E11" s="380" t="str">
        <x:v>3–5%</x:v>
      </x:c>
      <x:c r="F11" s="380" t="str">
        <x:v>5–10%</x:v>
      </x:c>
      <x:c r="G11" s="380" t="str">
        <x:v>10–20%</x:v>
      </x:c>
      <x:c r="H11" s="380" t="str">
        <x:v>&gt;20%</x:v>
      </x:c>
      <x:c r="I11" s="380" t="str">
        <x:v>现金流下降&gt;20%→5</x:v>
      </x:c>
      <x:c r="J11" s="380" t="str">
        <x:v>运营期优先EBITDA/自由现金流；建设期优先项目总投资</x:v>
      </x:c>
      <x:c r="K11" s="381" t="str">
        <x:v>建议初始参数，需结合客户风险承受度校准</x:v>
      </x:c>
    </x:row>
    <x:row r="12">
      <x:c r="A12" s="379" t="str">
        <x:v>政府财政风险</x:v>
      </x:c>
      <x:c r="B12" s="380" t="str">
        <x:v>政府/国企收入+担保+补贴依赖</x:v>
      </x:c>
      <x:c r="C12" s="380" t="str">
        <x:v>50%政府收入+30%担保+20%补贴</x:v>
      </x:c>
      <x:c r="D12" s="380" t="str">
        <x:v>&lt;10%综合暴露</x:v>
      </x:c>
      <x:c r="E12" s="380" t="str">
        <x:v>10–25%</x:v>
      </x:c>
      <x:c r="F12" s="380" t="str">
        <x:v>25–50%</x:v>
      </x:c>
      <x:c r="G12" s="380" t="str">
        <x:v>50–75%</x:v>
      </x:c>
      <x:c r="H12" s="380" t="str">
        <x:v>&gt;75%/核心支付停止</x:v>
      </x:c>
      <x:c r="I12" s="380" t="str">
        <x:v>核心补贴/购电款停止→I≥4</x:v>
      </x:c>
      <x:c r="J12" s="380" t="str">
        <x:v>按该风险最直接的项目暴露口径</x:v>
      </x:c>
      <x:c r="K12" s="381" t="str">
        <x:v>建议初始参数，需结合客户风险承受度校准</x:v>
      </x:c>
    </x:row>
    <x:row r="13">
      <x:c r="A13" s="379" t="str">
        <x:v>外汇储备风险</x:v>
      </x:c>
      <x:c r="B13" s="380" t="str">
        <x:v>外币偿债+进口+汇回需求</x:v>
      </x:c>
      <x:c r="C13" s="380" t="str">
        <x:v>40%偿债+30%进口+30%汇回占现金流</x:v>
      </x:c>
      <x:c r="D13" s="380" t="str">
        <x:v>&lt;10%</x:v>
      </x:c>
      <x:c r="E13" s="380" t="str">
        <x:v>10–25%</x:v>
      </x:c>
      <x:c r="F13" s="380" t="str">
        <x:v>25–50%</x:v>
      </x:c>
      <x:c r="G13" s="380" t="str">
        <x:v>50–75%</x:v>
      </x:c>
      <x:c r="H13" s="380" t="str">
        <x:v>&gt;75%</x:v>
      </x:c>
      <x:c r="I13" s="380" t="str">
        <x:v>与实际外汇限制同时触发→I≥4</x:v>
      </x:c>
      <x:c r="J13" s="380" t="str">
        <x:v>运营期优先EBITDA/自由现金流；建设期优先项目总投资</x:v>
      </x:c>
      <x:c r="K13" s="381" t="str">
        <x:v>建议初始参数，需结合客户风险承受度校准</x:v>
      </x:c>
    </x:row>
    <x:row r="14">
      <x:c r="A14" s="379" t="str">
        <x:v>主权信用风险</x:v>
      </x:c>
      <x:c r="B14" s="380" t="str">
        <x:v>主权相关收入/融资/交叉违约</x:v>
      </x:c>
      <x:c r="C14" s="380" t="str">
        <x:v>受影响金额/总资产或EBITDA</x:v>
      </x:c>
      <x:c r="D14" s="380" t="str">
        <x:v>&lt;1%</x:v>
      </x:c>
      <x:c r="E14" s="380" t="str">
        <x:v>1–3%</x:v>
      </x:c>
      <x:c r="F14" s="380" t="str">
        <x:v>3–10%</x:v>
      </x:c>
      <x:c r="G14" s="380" t="str">
        <x:v>10–20%</x:v>
      </x:c>
      <x:c r="H14" s="380" t="str">
        <x:v>&gt;20%/重大交叉违约</x:v>
      </x:c>
      <x:c r="I14" s="380" t="str">
        <x:v>主权违约触发项目融资违约→5</x:v>
      </x:c>
      <x:c r="J14" s="380" t="str">
        <x:v>运营期优先EBITDA/自由现金流；建设期优先项目总投资</x:v>
      </x:c>
      <x:c r="K14" s="381" t="str">
        <x:v>建议初始参数，需结合客户风险承受度校准</x:v>
      </x:c>
    </x:row>
    <x:row r="15">
      <x:c r="A15" s="379" t="str">
        <x:v>自然灾害与水文气候变化风险</x:v>
      </x:c>
      <x:c r="B15" s="380" t="str">
        <x:v>资产+停运+未保险+发电量损失</x:v>
      </x:c>
      <x:c r="C15" s="380" t="str">
        <x:v>净损失/EBITDA或总资产</x:v>
      </x:c>
      <x:c r="D15" s="380" t="str">
        <x:v>&lt;1%</x:v>
      </x:c>
      <x:c r="E15" s="380" t="str">
        <x:v>1–3%</x:v>
      </x:c>
      <x:c r="F15" s="380" t="str">
        <x:v>3–10%</x:v>
      </x:c>
      <x:c r="G15" s="380" t="str">
        <x:v>10–20%</x:v>
      </x:c>
      <x:c r="H15" s="380" t="str">
        <x:v>&gt;20%/关键资产毁损</x:v>
      </x:c>
      <x:c r="I15" s="380" t="str">
        <x:v>红色预警且关键资产高暴露→I≥4</x:v>
      </x:c>
      <x:c r="J15" s="380" t="str">
        <x:v>运营期优先EBITDA/自由现金流；建设期优先项目总投资</x:v>
      </x:c>
      <x:c r="K15" s="381" t="str">
        <x:v>建议初始参数，需结合客户风险承受度校准</x:v>
      </x:c>
    </x:row>
    <x:row r="16">
      <x:c r="A16" s="379" t="str">
        <x:v>粮食与能源短缺风险</x:v>
      </x:c>
      <x:c r="B16" s="380" t="str">
        <x:v>新增成本+供应中断</x:v>
      </x:c>
      <x:c r="C16" s="380" t="str">
        <x:v>新增成本/EBITDA + 中断天数</x:v>
      </x:c>
      <x:c r="D16" s="380" t="str">
        <x:v>&lt;1%且&lt;1天</x:v>
      </x:c>
      <x:c r="E16" s="380" t="str">
        <x:v>1–3%或1–7天</x:v>
      </x:c>
      <x:c r="F16" s="380" t="str">
        <x:v>3–10%或7–30天</x:v>
      </x:c>
      <x:c r="G16" s="380" t="str">
        <x:v>10–20%或1–3月</x:v>
      </x:c>
      <x:c r="H16" s="380" t="str">
        <x:v>&gt;20%或关键燃料断供</x:v>
      </x:c>
      <x:c r="I16" s="380" t="str">
        <x:v>关键燃料无替代→5</x:v>
      </x:c>
      <x:c r="J16" s="380" t="str">
        <x:v>运营期优先EBITDA/自由现金流；建设期优先项目总投资</x:v>
      </x:c>
      <x:c r="K16" s="381" t="str">
        <x:v>建议初始参数，需结合客户风险承受度校准</x:v>
      </x:c>
    </x:row>
    <x:row r="17">
      <x:c r="A17" s="379" t="str">
        <x:v>传染病风险</x:v>
      </x:c>
      <x:c r="B17" s="380" t="str">
        <x:v>现场运营+供应链+防疫成本</x:v>
      </x:c>
      <x:c r="C17" s="380" t="str">
        <x:v>40%运营+30%供应链+30%成本</x:v>
      </x:c>
      <x:c r="D17" s="380" t="str">
        <x:v>轻微</x:v>
      </x:c>
      <x:c r="E17" s="380" t="str">
        <x:v>短期局部</x:v>
      </x:c>
      <x:c r="F17" s="380" t="str">
        <x:v>明显限制</x:v>
      </x:c>
      <x:c r="G17" s="380" t="str">
        <x:v>长期限制/大面积停工</x:v>
      </x:c>
      <x:c r="H17" s="380" t="str">
        <x:v>无法现场运营/全国性长期限制</x:v>
      </x:c>
      <x:c r="I17" s="380" t="str">
        <x:v>全国停工且无法远程→I≥4</x:v>
      </x:c>
      <x:c r="J17" s="380" t="str">
        <x:v>按该风险最直接的项目暴露口径</x:v>
      </x:c>
      <x:c r="K17" s="381" t="str">
        <x:v>建议初始参数，需结合客户风险承受度校准</x:v>
      </x:c>
    </x:row>
    <x:row r="18">
      <x:c r="A18" s="379" t="str">
        <x:v>社会治安风险</x:v>
      </x:c>
      <x:c r="B18" s="380" t="str">
        <x:v>人员+资产+撤离安保+停工</x:v>
      </x:c>
      <x:c r="C18" s="380" t="str">
        <x:v>综合暴露评分</x:v>
      </x:c>
      <x:c r="D18" s="380" t="str">
        <x:v>低人员资产暴露</x:v>
      </x:c>
      <x:c r="E18" s="380" t="str">
        <x:v>较低</x:v>
      </x:c>
      <x:c r="F18" s="380" t="str">
        <x:v>中等</x:v>
      </x:c>
      <x:c r="G18" s="380" t="str">
        <x:v>较高</x:v>
      </x:c>
      <x:c r="H18" s="380" t="str">
        <x:v>重大人身/资产威胁</x:v>
      </x:c>
      <x:c r="I18" s="380" t="str">
        <x:v>针对项目绑架/袭击→I≥4</x:v>
      </x:c>
      <x:c r="J18" s="380" t="str">
        <x:v>按该风险最直接的项目暴露口径</x:v>
      </x:c>
      <x:c r="K18" s="381" t="str">
        <x:v>建议初始参数，需结合客户风险承受度校准</x:v>
      </x:c>
    </x:row>
    <x:row r="19">
      <x:c r="A19" s="379" t="str">
        <x:v>对中资品牌接纳风险</x:v>
      </x:c>
      <x:c r="B19" s="380" t="str">
        <x:v>品牌影响收入+社区/政府关系</x:v>
      </x:c>
      <x:c r="C19" s="380" t="str">
        <x:v>受影响收入比例+运营依赖</x:v>
      </x:c>
      <x:c r="D19" s="380" t="str">
        <x:v>&lt;5%</x:v>
      </x:c>
      <x:c r="E19" s="380" t="str">
        <x:v>5–10%</x:v>
      </x:c>
      <x:c r="F19" s="380" t="str">
        <x:v>10–25%</x:v>
      </x:c>
      <x:c r="G19" s="380" t="str">
        <x:v>25–50%</x:v>
      </x:c>
      <x:c r="H19" s="380" t="str">
        <x:v>&gt;50%/已影响许可运营</x:v>
      </x:c>
      <x:c r="I19" s="380" t="str">
        <x:v>抵制已影响许可/运营→I≥4</x:v>
      </x:c>
      <x:c r="J19" s="380" t="str">
        <x:v>按该风险最直接的项目暴露口径</x:v>
      </x:c>
      <x:c r="K19" s="381" t="str">
        <x:v>建议初始参数，需结合客户风险承受度校准</x:v>
      </x:c>
    </x:row>
    <x:row r="20">
      <x:c r="A20" s="379" t="str">
        <x:v>语言壁垒风险</x:v>
      </x:c>
      <x:c r="B20" s="380" t="str">
        <x:v>关键文件语言占比+专业支持缺口</x:v>
      </x:c>
      <x:c r="C20" s="380" t="str">
        <x:v>文件暴露×支持缺口</x:v>
      </x:c>
      <x:c r="D20" s="380" t="str">
        <x:v>支持充分</x:v>
      </x:c>
      <x:c r="E20" s="380" t="str">
        <x:v>小缺口</x:v>
      </x:c>
      <x:c r="F20" s="380" t="str">
        <x:v>中等缺口</x:v>
      </x:c>
      <x:c r="G20" s="380" t="str">
        <x:v>较大缺口</x:v>
      </x:c>
      <x:c r="H20" s="380" t="str">
        <x:v>关键文件无法准确理解</x:v>
      </x:c>
      <x:c r="I20" s="380" t="str">
        <x:v>关键合同/监管文件无法理解→I≥4</x:v>
      </x:c>
      <x:c r="J20" s="380" t="str">
        <x:v>按该风险最直接的项目暴露口径</x:v>
      </x:c>
      <x:c r="K20" s="381" t="str">
        <x:v>建议初始参数，需结合客户风险承受度校准</x:v>
      </x:c>
    </x:row>
    <x:row r="21">
      <x:c r="A21" s="379" t="str">
        <x:v>宗教与文化差异风险</x:v>
      </x:c>
      <x:c r="B21" s="380" t="str">
        <x:v>受影响工作日+流程限制+替代成本</x:v>
      </x:c>
      <x:c r="C21" s="380" t="str">
        <x:v>综合评分</x:v>
      </x:c>
      <x:c r="D21" s="380" t="str">
        <x:v>几乎无影响</x:v>
      </x:c>
      <x:c r="E21" s="380" t="str">
        <x:v>轻微调整</x:v>
      </x:c>
      <x:c r="F21" s="380" t="str">
        <x:v>中等调整</x:v>
      </x:c>
      <x:c r="G21" s="380" t="str">
        <x:v>重大流程限制</x:v>
      </x:c>
      <x:c r="H21" s="380" t="str">
        <x:v>无法按现有模式经营</x:v>
      </x:c>
      <x:c r="I21" s="380" t="str">
        <x:v>导致关键业务长期无法开展→5</x:v>
      </x:c>
      <x:c r="J21" s="380" t="str">
        <x:v>按该风险最直接的项目暴露口径</x:v>
      </x:c>
      <x:c r="K21" s="381" t="str">
        <x:v>建议初始参数，需结合客户风险承受度校准</x:v>
      </x:c>
    </x:row>
    <x:row r="22">
      <x:c r="A22" s="379" t="str">
        <x:v>间谍活动风险</x:v>
      </x:c>
      <x:c r="B22" s="380" t="str">
        <x:v>敏感数据+核心系统+商业/合规损失</x:v>
      </x:c>
      <x:c r="C22" s="380" t="str">
        <x:v>综合评分/预计损失</x:v>
      </x:c>
      <x:c r="D22" s="380" t="str">
        <x:v>低敏感度</x:v>
      </x:c>
      <x:c r="E22" s="380" t="str">
        <x:v>较低</x:v>
      </x:c>
      <x:c r="F22" s="380" t="str">
        <x:v>中等</x:v>
      </x:c>
      <x:c r="G22" s="380" t="str">
        <x:v>较高</x:v>
      </x:c>
      <x:c r="H22" s="380" t="str">
        <x:v>核心机密/工控系统重大暴露</x:v>
      </x:c>
      <x:c r="I22" s="380" t="str">
        <x:v>定向APT命中核心系统→I≥4</x:v>
      </x:c>
      <x:c r="J22" s="380" t="str">
        <x:v>按该风险最直接的项目暴露口径</x:v>
      </x:c>
      <x:c r="K22" s="381" t="str">
        <x:v>建议初始参数，需结合客户风险承受度校准</x:v>
      </x:c>
    </x:row>
    <x:row r="23">
      <x:c r="A23" s="379" t="str">
        <x:v>网络勒索风险</x:v>
      </x:c>
      <x:c r="B23" s="380" t="str">
        <x:v>停机+恢复+处置/赎金</x:v>
      </x:c>
      <x:c r="C23" s="380" t="str">
        <x:v>预计损失/EBITDA + 停机时间</x:v>
      </x:c>
      <x:c r="D23" s="380" t="str">
        <x:v>&lt;1%且&lt;4h</x:v>
      </x:c>
      <x:c r="E23" s="380" t="str">
        <x:v>1–3%或4–24h</x:v>
      </x:c>
      <x:c r="F23" s="380" t="str">
        <x:v>3–10%或1–3天</x:v>
      </x:c>
      <x:c r="G23" s="380" t="str">
        <x:v>10–20%或3–7天</x:v>
      </x:c>
      <x:c r="H23" s="380" t="str">
        <x:v>&gt;20%或&gt;7天/核心系统</x:v>
      </x:c>
      <x:c r="I23" s="380" t="str">
        <x:v>核心支付/生产系统被攻陷→5</x:v>
      </x:c>
      <x:c r="J23" s="380" t="str">
        <x:v>运营期优先EBITDA/自由现金流；建设期优先项目总投资</x:v>
      </x:c>
      <x:c r="K23" s="381" t="str">
        <x:v>建议初始参数，需结合客户风险承受度校准</x:v>
      </x:c>
    </x:row>
    <x:row r="24">
      <x:c r="A24" s="379" t="str">
        <x:v>数据泄露风险</x:v>
      </x:c>
      <x:c r="B24" s="380" t="str">
        <x:v>处罚+恢复+业务/商业损失</x:v>
      </x:c>
      <x:c r="C24" s="380" t="str">
        <x:v>预计损失/EBITDA + 数据敏感度</x:v>
      </x:c>
      <x:c r="D24" s="380" t="str">
        <x:v>&lt;1%</x:v>
      </x:c>
      <x:c r="E24" s="380" t="str">
        <x:v>1–3%</x:v>
      </x:c>
      <x:c r="F24" s="380" t="str">
        <x:v>3–10%</x:v>
      </x:c>
      <x:c r="G24" s="380" t="str">
        <x:v>10–20%</x:v>
      </x:c>
      <x:c r="H24" s="380" t="str">
        <x:v>&gt;20%/大规模敏感数据</x:v>
      </x:c>
      <x:c r="I24" s="380" t="str">
        <x:v>核心财资/大规模敏感数据→I≥4</x:v>
      </x:c>
      <x:c r="J24" s="380" t="str">
        <x:v>运营期优先EBITDA/自由现金流；建设期优先项目总投资</x:v>
      </x:c>
      <x:c r="K24" s="381" t="str">
        <x:v>建议初始参数，需结合客户风险承受度校准</x:v>
      </x:c>
    </x:row>
    <x:row r="25">
      <x:c r="A25" s="379" t="str">
        <x:v>政府腐败风险</x:v>
      </x:c>
      <x:c r="B25" s="380" t="str">
        <x:v>政府接触+公共合同+高风险第三方支付</x:v>
      </x:c>
      <x:c r="C25" s="380" t="str">
        <x:v>综合暴露比例</x:v>
      </x:c>
      <x:c r="D25" s="380" t="str">
        <x:v>&lt;5%</x:v>
      </x:c>
      <x:c r="E25" s="380" t="str">
        <x:v>5–10%</x:v>
      </x:c>
      <x:c r="F25" s="380" t="str">
        <x:v>10–25%</x:v>
      </x:c>
      <x:c r="G25" s="380" t="str">
        <x:v>25–50%</x:v>
      </x:c>
      <x:c r="H25" s="380" t="str">
        <x:v>&gt;50%/关键许可依赖</x:v>
      </x:c>
      <x:c r="I25" s="380" t="str">
        <x:v>索贿涉及关键许可/续期→I≥4</x:v>
      </x:c>
      <x:c r="J25" s="380" t="str">
        <x:v>按该风险最直接的项目暴露口径</x:v>
      </x:c>
      <x:c r="K25" s="381" t="str">
        <x:v>建议初始参数，需结合客户风险承受度校准</x:v>
      </x:c>
    </x:row>
    <x:row r="26">
      <x:c r="A26" s="379" t="str">
        <x:v>属地金融犯罪风险</x:v>
      </x:c>
      <x:c r="B26" s="380" t="str">
        <x:v>高风险付款+账户余额-可追回金额</x:v>
      </x:c>
      <x:c r="C26" s="380" t="str">
        <x:v>净损失/EBITDA或资产</x:v>
      </x:c>
      <x:c r="D26" s="380" t="str">
        <x:v>&lt;1%</x:v>
      </x:c>
      <x:c r="E26" s="380" t="str">
        <x:v>1–3%</x:v>
      </x:c>
      <x:c r="F26" s="380" t="str">
        <x:v>3–10%</x:v>
      </x:c>
      <x:c r="G26" s="380" t="str">
        <x:v>10–20%</x:v>
      </x:c>
      <x:c r="H26" s="380" t="str">
        <x:v>&gt;20%</x:v>
      </x:c>
      <x:c r="I26" s="380" t="str">
        <x:v>核心账户冻结/重大诈骗→I≥4</x:v>
      </x:c>
      <x:c r="J26" s="380" t="str">
        <x:v>运营期优先EBITDA/自由现金流；建设期优先项目总投资</x:v>
      </x:c>
      <x:c r="K26" s="381" t="str">
        <x:v>建议初始参数，需结合客户风险承受度校准</x:v>
      </x:c>
    </x:row>
    <x:row r="27">
      <x:c r="A27" s="379" t="str">
        <x:v>法律环境风险</x:v>
      </x:c>
      <x:c r="B27" s="380" t="str">
        <x:v>当地法合同/债权+执行周期</x:v>
      </x:c>
      <x:c r="C27" s="380" t="str">
        <x:v>受影响金额/资产+执行难度</x:v>
      </x:c>
      <x:c r="D27" s="380" t="str">
        <x:v>&lt;5%且救济明确</x:v>
      </x:c>
      <x:c r="E27" s="380" t="str">
        <x:v>5–10%</x:v>
      </x:c>
      <x:c r="F27" s="380" t="str">
        <x:v>10–25%</x:v>
      </x:c>
      <x:c r="G27" s="380" t="str">
        <x:v>25–50%</x:v>
      </x:c>
      <x:c r="H27" s="380" t="str">
        <x:v>&gt;50%/无有效救济</x:v>
      </x:c>
      <x:c r="I27" s="380" t="str">
        <x:v>核心合同无法有效救济→I≥4</x:v>
      </x:c>
      <x:c r="J27" s="380" t="str">
        <x:v>按该风险最直接的项目暴露口径</x:v>
      </x:c>
      <x:c r="K27" s="381" t="str">
        <x:v>建议初始参数，需结合客户风险承受度校准</x:v>
      </x:c>
    </x:row>
    <x:row r="28">
      <x:c r="A28" s="379" t="str">
        <x:v>外商投资政策风险</x:v>
      </x:c>
      <x:c r="B28" s="380" t="str">
        <x:v>受限资产+控制权/收益+重组延期</x:v>
      </x:c>
      <x:c r="C28" s="380" t="str">
        <x:v>净损失/项目价值</x:v>
      </x:c>
      <x:c r="D28" s="380" t="str">
        <x:v>&lt;1%</x:v>
      </x:c>
      <x:c r="E28" s="380" t="str">
        <x:v>1–3%</x:v>
      </x:c>
      <x:c r="F28" s="380" t="str">
        <x:v>3–10%</x:v>
      </x:c>
      <x:c r="G28" s="380" t="str">
        <x:v>10–20%</x:v>
      </x:c>
      <x:c r="H28" s="380" t="str">
        <x:v>&gt;20%/失去控制权</x:v>
      </x:c>
      <x:c r="I28" s="380" t="str">
        <x:v>行业禁止/交易否决→I≥4</x:v>
      </x:c>
      <x:c r="J28" s="380" t="str">
        <x:v>按该风险最直接的项目暴露口径</x:v>
      </x:c>
      <x:c r="K28" s="381" t="str">
        <x:v>建议初始参数，需结合客户风险承受度校准</x:v>
      </x:c>
    </x:row>
    <x:row r="29">
      <x:c r="A29" s="379" t="str">
        <x:v>税收政策风险</x:v>
      </x:c>
      <x:c r="B29" s="380" t="str">
        <x:v>新增税负</x:v>
      </x:c>
      <x:c r="C29" s="380" t="str">
        <x:v>ΔTax/EBITDA或自由现金流</x:v>
      </x:c>
      <x:c r="D29" s="380" t="str">
        <x:v>&lt;1%</x:v>
      </x:c>
      <x:c r="E29" s="380" t="str">
        <x:v>1–3%</x:v>
      </x:c>
      <x:c r="F29" s="380" t="str">
        <x:v>3–10%</x:v>
      </x:c>
      <x:c r="G29" s="380" t="str">
        <x:v>10–20%</x:v>
      </x:c>
      <x:c r="H29" s="380" t="str">
        <x:v>&gt;20%</x:v>
      </x:c>
      <x:c r="I29" s="380" t="str">
        <x:v>新增税负&gt;20% EBITDA→5</x:v>
      </x:c>
      <x:c r="J29" s="380" t="str">
        <x:v>运营期优先EBITDA/自由现金流；建设期优先项目总投资</x:v>
      </x:c>
      <x:c r="K29" s="381" t="str">
        <x:v>建议初始参数，需结合客户风险承受度校准</x:v>
      </x:c>
    </x:row>
    <x:row r="30">
      <x:c r="A30" s="379" t="str">
        <x:v>环保政策风险</x:v>
      </x:c>
      <x:c r="B30" s="380" t="str">
        <x:v>改造CAPEX+新增OPEX+限产</x:v>
      </x:c>
      <x:c r="C30" s="380" t="str">
        <x:v>综合损失/投资或EBITDA</x:v>
      </x:c>
      <x:c r="D30" s="380" t="str">
        <x:v>&lt;1%</x:v>
      </x:c>
      <x:c r="E30" s="380" t="str">
        <x:v>1–3%</x:v>
      </x:c>
      <x:c r="F30" s="380" t="str">
        <x:v>3–10%</x:v>
      </x:c>
      <x:c r="G30" s="380" t="str">
        <x:v>10–20%</x:v>
      </x:c>
      <x:c r="H30" s="380" t="str">
        <x:v>&gt;20%/无法合规</x:v>
      </x:c>
      <x:c r="I30" s="380" t="str">
        <x:v>新规导致无法持续合规→5</x:v>
      </x:c>
      <x:c r="J30" s="380" t="str">
        <x:v>运营期优先EBITDA/自由现金流；建设期优先项目总投资</x:v>
      </x:c>
      <x:c r="K30" s="381" t="str">
        <x:v>建议初始参数，需结合客户风险承受度校准</x:v>
      </x:c>
    </x:row>
    <x:row r="31">
      <x:c r="A31" s="379" t="str">
        <x:v>土地政策风险</x:v>
      </x:c>
      <x:c r="B31" s="380" t="str">
        <x:v>土地相关资产+替代/搬迁+延期</x:v>
      </x:c>
      <x:c r="C31" s="380" t="str">
        <x:v>净损失/项目投资</x:v>
      </x:c>
      <x:c r="D31" s="380" t="str">
        <x:v>&lt;1%</x:v>
      </x:c>
      <x:c r="E31" s="380" t="str">
        <x:v>1–3%</x:v>
      </x:c>
      <x:c r="F31" s="380" t="str">
        <x:v>3–10%</x:v>
      </x:c>
      <x:c r="G31" s="380" t="str">
        <x:v>10–20%</x:v>
      </x:c>
      <x:c r="H31" s="380" t="str">
        <x:v>&gt;20%/核心土地失效</x:v>
      </x:c>
      <x:c r="I31" s="380" t="str">
        <x:v>核心土地无法取得/续期→5</x:v>
      </x:c>
      <x:c r="J31" s="380" t="str">
        <x:v>项目总投资</x:v>
      </x:c>
      <x:c r="K31" s="381" t="str">
        <x:v>建议初始参数，需结合客户风险承受度校准</x:v>
      </x:c>
    </x:row>
    <x:row r="32">
      <x:c r="A32" s="379" t="str">
        <x:v>劳动用工风险</x:v>
      </x:c>
      <x:c r="B32" s="380" t="str">
        <x:v>新增人工成本+关键岗位缺口+停工</x:v>
      </x:c>
      <x:c r="C32" s="380" t="str">
        <x:v>成本/EBITDA+岗位缺口</x:v>
      </x:c>
      <x:c r="D32" s="380" t="str">
        <x:v>&lt;1%且无关键缺口</x:v>
      </x:c>
      <x:c r="E32" s="380" t="str">
        <x:v>1–3%</x:v>
      </x:c>
      <x:c r="F32" s="380" t="str">
        <x:v>3–10%/局部缺口</x:v>
      </x:c>
      <x:c r="G32" s="380" t="str">
        <x:v>10–20%/关键缺口</x:v>
      </x:c>
      <x:c r="H32" s="380" t="str">
        <x:v>&gt;20%/关键人员无法配置</x:v>
      </x:c>
      <x:c r="I32" s="380" t="str">
        <x:v>大规模强制调整/关键岗位无法配置→I≥4</x:v>
      </x:c>
      <x:c r="J32" s="380" t="str">
        <x:v>运营期优先EBITDA/自由现金流；建设期优先项目总投资</x:v>
      </x:c>
      <x:c r="K32" s="381" t="str">
        <x:v>建议初始参数，需结合客户风险承受度校准</x:v>
      </x:c>
    </x:row>
    <x:row r="33">
      <x:c r="A33" s="379" t="str">
        <x:v>外汇管制风险</x:v>
      </x:c>
      <x:c r="B33" s="380" t="str">
        <x:v>无法汇出资金+外币偿债缺口</x:v>
      </x:c>
      <x:c r="C33" s="380" t="str">
        <x:v>无法汇出/年度现金流 + 偿债缺口/本息</x:v>
      </x:c>
      <x:c r="D33" s="380" t="str">
        <x:v>&lt;5%</x:v>
      </x:c>
      <x:c r="E33" s="380" t="str">
        <x:v>5–10%</x:v>
      </x:c>
      <x:c r="F33" s="380" t="str">
        <x:v>10–25%</x:v>
      </x:c>
      <x:c r="G33" s="380" t="str">
        <x:v>25–50%</x:v>
      </x:c>
      <x:c r="H33" s="380" t="str">
        <x:v>&gt;50%/无法偿债</x:v>
      </x:c>
      <x:c r="I33" s="380" t="str">
        <x:v>暂停利润/本金汇出且影响偿债→5</x:v>
      </x:c>
      <x:c r="J33" s="380" t="str">
        <x:v>运营期优先EBITDA/自由现金流；建设期优先项目总投资</x:v>
      </x:c>
      <x:c r="K33" s="381" t="str">
        <x:v>建议初始参数，需结合客户风险承受度校准</x:v>
      </x:c>
    </x:row>
    <x:row r="34">
      <x:c r="A34" s="379" t="str">
        <x:v>国家征收风险</x:v>
      </x:c>
      <x:c r="B34" s="380" t="str">
        <x:v>资产价值-补偿-保险-BIT回收</x:v>
      </x:c>
      <x:c r="C34" s="380" t="str">
        <x:v>Net Loss/项目净资产</x:v>
      </x:c>
      <x:c r="D34" s="380" t="str">
        <x:v>&lt;1%</x:v>
      </x:c>
      <x:c r="E34" s="380" t="str">
        <x:v>1–5%</x:v>
      </x:c>
      <x:c r="F34" s="380" t="str">
        <x:v>5–15%</x:v>
      </x:c>
      <x:c r="G34" s="380" t="str">
        <x:v>15–30%</x:v>
      </x:c>
      <x:c r="H34" s="380" t="str">
        <x:v>&gt;30%/核心资产被征收</x:v>
      </x:c>
      <x:c r="I34" s="380" t="str">
        <x:v>已征收/国有化/特许权撤销→I≥4，实质退出→5</x:v>
      </x:c>
      <x:c r="J34" s="380" t="str">
        <x:v>项目净资产/企业价值</x:v>
      </x:c>
      <x:c r="K34" s="381" t="str">
        <x:v>建议初始参数，需结合客户风险承受度校准</x:v>
      </x:c>
    </x:row>
    <x:row r="35">
      <x:c r="A35" s="379" t="str">
        <x:v>行业监管风险</x:v>
      </x:c>
      <x:c r="B35" s="380" t="str">
        <x:v>收入机制损失+改造+限发交易损失</x:v>
      </x:c>
      <x:c r="C35" s="380" t="str">
        <x:v>总损失/EBITDA</x:v>
      </x:c>
      <x:c r="D35" s="380" t="str">
        <x:v>&lt;1%</x:v>
      </x:c>
      <x:c r="E35" s="380" t="str">
        <x:v>1–3%</x:v>
      </x:c>
      <x:c r="F35" s="380" t="str">
        <x:v>3–10%</x:v>
      </x:c>
      <x:c r="G35" s="380" t="str">
        <x:v>10–20%</x:v>
      </x:c>
      <x:c r="H35" s="380" t="str">
        <x:v>&gt;20%/商业模式失效</x:v>
      </x:c>
      <x:c r="I35" s="380" t="str">
        <x:v>新规使既定商业模式无法运营→5</x:v>
      </x:c>
      <x:c r="J35" s="380" t="str">
        <x:v>运营期优先EBITDA/自由现金流；建设期优先项目总投资</x:v>
      </x:c>
      <x:c r="K35" s="381" t="str">
        <x:v>建议初始参数，需结合客户风险承受度校准</x:v>
      </x:c>
    </x:row>
    <x:row r="36">
      <x:c r="A36" s="379" t="str">
        <x:v>市场准入风险</x:v>
      </x:c>
      <x:c r="B36" s="380" t="str">
        <x:v>沉淀投资+延期+无法经营价值损失</x:v>
      </x:c>
      <x:c r="C36" s="380" t="str">
        <x:v>净损失/项目投资或价值</x:v>
      </x:c>
      <x:c r="D36" s="380" t="str">
        <x:v>&lt;1%</x:v>
      </x:c>
      <x:c r="E36" s="380" t="str">
        <x:v>1–3%</x:v>
      </x:c>
      <x:c r="F36" s="380" t="str">
        <x:v>3–10%</x:v>
      </x:c>
      <x:c r="G36" s="380" t="str">
        <x:v>10–20%</x:v>
      </x:c>
      <x:c r="H36" s="380" t="str">
        <x:v>&gt;20%/无法经营</x:v>
      </x:c>
      <x:c r="I36" s="380" t="str">
        <x:v>核心许可无法取得/续期→5</x:v>
      </x:c>
      <x:c r="J36" s="380" t="str">
        <x:v>项目总投资</x:v>
      </x:c>
      <x:c r="K36" s="381" t="str">
        <x:v>建议初始参数，需结合客户风险承受度校准</x:v>
      </x:c>
    </x:row>
    <x:row r="37">
      <x:c r="A37" s="379" t="str">
        <x:v>行业投资优惠政策风险</x:v>
      </x:c>
      <x:c r="B37" s="380" t="str">
        <x:v>优惠损失</x:v>
      </x:c>
      <x:c r="C37" s="380" t="str">
        <x:v>(原优惠-调整后优惠)/NPV或EBITDA</x:v>
      </x:c>
      <x:c r="D37" s="380" t="str">
        <x:v>&lt;1%</x:v>
      </x:c>
      <x:c r="E37" s="380" t="str">
        <x:v>1–3%</x:v>
      </x:c>
      <x:c r="F37" s="380" t="str">
        <x:v>3–10%</x:v>
      </x:c>
      <x:c r="G37" s="380" t="str">
        <x:v>10–20%</x:v>
      </x:c>
      <x:c r="H37" s="380" t="str">
        <x:v>&gt;20%</x:v>
      </x:c>
      <x:c r="I37" s="380" t="str">
        <x:v>核心收益依赖优惠被取消→I≥4</x:v>
      </x:c>
      <x:c r="J37" s="380" t="str">
        <x:v>运营期优先EBITDA/自由现金流；建设期优先项目总投资</x:v>
      </x:c>
      <x:c r="K37" s="381" t="str">
        <x:v>建议初始参数，需结合客户风险承受度校准</x:v>
      </x:c>
    </x:row>
    <x:row r="38">
      <x:c r="A38" s="382" t="str">
        <x:v>指导电价风险</x:v>
      </x:c>
      <x:c r="B38" s="383" t="str">
        <x:v>电价缺口×预计上网电量</x:v>
      </x:c>
      <x:c r="C38" s="383" t="str">
        <x:v>Revenue Loss/EBITDA</x:v>
      </x:c>
      <x:c r="D38" s="383" t="str">
        <x:v>&lt;1%</x:v>
      </x:c>
      <x:c r="E38" s="383" t="str">
        <x:v>1–3%</x:v>
      </x:c>
      <x:c r="F38" s="383" t="str">
        <x:v>3–10%</x:v>
      </x:c>
      <x:c r="G38" s="383" t="str">
        <x:v>10–20%</x:v>
      </x:c>
      <x:c r="H38" s="383" t="str">
        <x:v>&gt;20%</x:v>
      </x:c>
      <x:c r="I38" s="383" t="str">
        <x:v>冻结/强制降价且损失&gt;20% EBITDA→5</x:v>
      </x:c>
      <x:c r="J38" s="383" t="str">
        <x:v>运营期优先EBITDA/自由现金流；建设期优先项目总投资</x:v>
      </x:c>
      <x:c r="K38" s="384" t="str">
        <x:v>建议初始参数，需结合客户风险承受度校准</x:v>
      </x:c>
    </x:row>
    <x:row r="39">
      <x:c r="A39" s="390" t="str">
        <x:v>使用说明：Impact应尽量基于项目自身数据。运营期优先使用EBITDA/自由现金流，建设期优先使用项目总投资；人员伤亡、项目退出、核心许可丧失等不可被普通财务加权平均稀释，需使用Floor/红线规则。</x:v>
      </x:c>
    </x:row>
  </x:sheetData>
  <x:mergeCells>
    <x:mergeCell ref="A1:K1"/>
    <x:mergeCell ref="A39:K40"/>
  </x:mergeCell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28" hidden="0" customWidth="1"/>
    <x:col min="9" max="9" width="22" hidden="0" customWidth="1"/>
    <x:col min="10" max="10" width="18" hidden="0" customWidth="1"/>
    <x:col min="11" max="11" width="16" hidden="0" customWidth="1"/>
    <x:col min="12" max="12" width="42" hidden="0" customWidth="1"/>
  </x:cols>
  <x:sheetData>
    <x:row r="1" ht="28" customHeight="1">
      <x:c r="A1" s="371" t="str">
        <x:v>Risk Matrix｜Likelihood × Impact → 综合风险</x:v>
      </x:c>
      <x:c r="B1" s="371"/>
      <x:c r="C1" s="371"/>
      <x:c r="D1" s="371"/>
      <x:c r="E1" s="371"/>
      <x:c r="F1" s="371"/>
      <x:c r="G1" s="371"/>
      <x:c r="H1" s="371"/>
      <x:c r="I1" s="371"/>
      <x:c r="J1" s="371"/>
      <x:c r="K1" s="371"/>
      <x:c r="L1" s="371"/>
    </x:row>
    <x:row r="2">
      <x:c r="A2" s="372"/>
      <x:c r="B2" s="372"/>
      <x:c r="C2" s="372"/>
      <x:c r="D2" s="372"/>
      <x:c r="E2" s="372"/>
      <x:c r="F2" s="372"/>
      <x:c r="G2" s="372"/>
      <x:c r="H2" s="372"/>
      <x:c r="I2" s="372"/>
      <x:c r="J2" s="372"/>
      <x:c r="K2" s="372"/>
      <x:c r="L2" s="372"/>
    </x:row>
    <x:row r="3">
      <x:c r="A3" s="376" t="str">
        <x:v>Likelihood \ Impact</x:v>
      </x:c>
      <x:c r="B3" s="377" t="n">
        <x:v>1</x:v>
      </x:c>
      <x:c r="C3" s="377" t="n">
        <x:v>2</x:v>
      </x:c>
      <x:c r="D3" s="377" t="n">
        <x:v>3</x:v>
      </x:c>
      <x:c r="E3" s="377" t="n">
        <x:v>4</x:v>
      </x:c>
      <x:c r="F3" s="377" t="n">
        <x:v>5</x:v>
      </x:c>
      <x:c r="G3" s="378" t="str">
        <x:v>说明</x:v>
      </x:c>
      <x:c r="H3" s="372"/>
      <x:c r="I3" s="376" t="str">
        <x:v>试算区</x:v>
      </x:c>
      <x:c r="J3" s="377" t="str">
        <x:v>输入/公式</x:v>
      </x:c>
      <x:c r="K3" s="377" t="str">
        <x:v>结果</x:v>
      </x:c>
      <x:c r="L3" s="378" t="str">
        <x:v>说明</x:v>
      </x:c>
    </x:row>
    <x:row r="4">
      <x:c r="A4" s="379" t="n">
        <x:v>5</x:v>
      </x:c>
      <x:c r="B4" s="380" t="str">
        <x:v>中</x:v>
      </x:c>
      <x:c r="C4" s="380" t="str">
        <x:v>中</x:v>
      </x:c>
      <x:c r="D4" s="380" t="str">
        <x:v>高</x:v>
      </x:c>
      <x:c r="E4" s="380" t="str">
        <x:v>高</x:v>
      </x:c>
      <x:c r="F4" s="380" t="str">
        <x:v>高</x:v>
      </x:c>
      <x:c r="G4" s="381" t="str">
        <x:v>Likelihood 5/5</x:v>
      </x:c>
      <x:c r="H4" s="372"/>
      <x:c r="I4" s="379" t="str">
        <x:v>Level Score</x:v>
      </x:c>
      <x:c r="J4" s="380" t="n">
        <x:v>3</x:v>
      </x:c>
      <x:c r="K4" s="380"/>
      <x:c r="L4" s="381" t="str">
        <x:v>输入1–5</x:v>
      </x:c>
    </x:row>
    <x:row r="5">
      <x:c r="A5" s="379" t="n">
        <x:v>4</x:v>
      </x:c>
      <x:c r="B5" s="380" t="str">
        <x:v>低</x:v>
      </x:c>
      <x:c r="C5" s="380" t="str">
        <x:v>中</x:v>
      </x:c>
      <x:c r="D5" s="380" t="str">
        <x:v>高</x:v>
      </x:c>
      <x:c r="E5" s="380" t="str">
        <x:v>高</x:v>
      </x:c>
      <x:c r="F5" s="380" t="str">
        <x:v>高</x:v>
      </x:c>
      <x:c r="G5" s="381" t="str">
        <x:v>Likelihood 4/5</x:v>
      </x:c>
      <x:c r="H5" s="372"/>
      <x:c r="I5" s="379" t="str">
        <x:v>Trend Score</x:v>
      </x:c>
      <x:c r="J5" s="380" t="n">
        <x:v>4</x:v>
      </x:c>
      <x:c r="K5" s="380"/>
      <x:c r="L5" s="381" t="str">
        <x:v>输入1–5</x:v>
      </x:c>
    </x:row>
    <x:row r="6">
      <x:c r="A6" s="379" t="n">
        <x:v>3</x:v>
      </x:c>
      <x:c r="B6" s="380" t="str">
        <x:v>低</x:v>
      </x:c>
      <x:c r="C6" s="380" t="str">
        <x:v>中</x:v>
      </x:c>
      <x:c r="D6" s="380" t="str">
        <x:v>中</x:v>
      </x:c>
      <x:c r="E6" s="380" t="str">
        <x:v>高</x:v>
      </x:c>
      <x:c r="F6" s="380" t="str">
        <x:v>高</x:v>
      </x:c>
      <x:c r="G6" s="381" t="str">
        <x:v>Likelihood 3/5</x:v>
      </x:c>
      <x:c r="H6" s="372"/>
      <x:c r="I6" s="379" t="str">
        <x:v>Event Score</x:v>
      </x:c>
      <x:c r="J6" s="380" t="n">
        <x:v>5</x:v>
      </x:c>
      <x:c r="K6" s="380"/>
      <x:c r="L6" s="381" t="str">
        <x:v>输入1–5</x:v>
      </x:c>
    </x:row>
    <x:row r="7">
      <x:c r="A7" s="379" t="n">
        <x:v>2</x:v>
      </x:c>
      <x:c r="B7" s="380" t="str">
        <x:v>低</x:v>
      </x:c>
      <x:c r="C7" s="380" t="str">
        <x:v>低</x:v>
      </x:c>
      <x:c r="D7" s="380" t="str">
        <x:v>中</x:v>
      </x:c>
      <x:c r="E7" s="380" t="str">
        <x:v>中</x:v>
      </x:c>
      <x:c r="F7" s="380" t="str">
        <x:v>高</x:v>
      </x:c>
      <x:c r="G7" s="381" t="str">
        <x:v>Likelihood 2/5</x:v>
      </x:c>
      <x:c r="H7" s="372"/>
      <x:c r="I7" s="379" t="str">
        <x:v>Likelihood连续分</x:v>
      </x:c>
      <x:c r="J7" s="380" t="n">
        <x:f>J4*50%+J5*30%+J6*20%</x:f>
        <x:v>3.7</x:v>
      </x:c>
      <x:c r="K7" s="380"/>
      <x:c r="L7" s="381" t="str">
        <x:v>示例采用50%/30%/20%</x:v>
      </x:c>
    </x:row>
    <x:row r="8">
      <x:c r="A8" s="382" t="n">
        <x:v>1</x:v>
      </x:c>
      <x:c r="B8" s="383" t="str">
        <x:v>低</x:v>
      </x:c>
      <x:c r="C8" s="383" t="str">
        <x:v>低</x:v>
      </x:c>
      <x:c r="D8" s="383" t="str">
        <x:v>低</x:v>
      </x:c>
      <x:c r="E8" s="383" t="str">
        <x:v>中</x:v>
      </x:c>
      <x:c r="F8" s="383" t="str">
        <x:v>中</x:v>
      </x:c>
      <x:c r="G8" s="384" t="str">
        <x:v>Likelihood 1/5</x:v>
      </x:c>
      <x:c r="H8" s="372"/>
      <x:c r="I8" s="379" t="str">
        <x:v>Likelihood等级</x:v>
      </x:c>
      <x:c r="J8" s="380" t="n">
        <x:f>IF(J7&lt;1.5,1,IF(J7&lt;2.5,2,IF(J7&lt;3.5,3,IF(J7&lt;4.5,4,5))))</x:f>
        <x:v>4</x:v>
      </x:c>
      <x:c r="K8" s="380"/>
      <x:c r="L8" s="381" t="str">
        <x:v>按区间映射1–5</x:v>
      </x:c>
    </x:row>
    <x:row r="9">
      <x:c r="A9" s="372"/>
      <x:c r="B9" s="372"/>
      <x:c r="C9" s="372"/>
      <x:c r="D9" s="372"/>
      <x:c r="E9" s="372"/>
      <x:c r="F9" s="372"/>
      <x:c r="G9" s="372"/>
      <x:c r="H9" s="372"/>
      <x:c r="I9" s="379"/>
      <x:c r="J9" s="380"/>
      <x:c r="K9" s="380"/>
      <x:c r="L9" s="381"/>
    </x:row>
    <x:row r="10">
      <x:c r="A10" s="376" t="str">
        <x:v>模块</x:v>
      </x:c>
      <x:c r="B10" s="377" t="str">
        <x:v>规则</x:v>
      </x:c>
      <x:c r="C10" s="377" t="str">
        <x:v>输出</x:v>
      </x:c>
      <x:c r="D10" s="378" t="str">
        <x:v>备注</x:v>
      </x:c>
      <x:c r="E10" s="372"/>
      <x:c r="F10" s="372"/>
      <x:c r="G10" s="372"/>
      <x:c r="H10" s="372"/>
      <x:c r="I10" s="379" t="str">
        <x:v>Impact Score</x:v>
      </x:c>
      <x:c r="J10" s="380" t="n">
        <x:v>4</x:v>
      </x:c>
      <x:c r="K10" s="380"/>
      <x:c r="L10" s="381" t="str">
        <x:v>输入1–5</x:v>
      </x:c>
    </x:row>
    <x:row r="11">
      <x:c r="A11" s="379" t="str">
        <x:v>Likelihood连续分</x:v>
      </x:c>
      <x:c r="B11" s="380" t="str">
        <x:v>1.00–1.49 / 1.50–2.49 / 2.50–3.49 / 3.50–4.49 / 4.50–5.00</x:v>
      </x:c>
      <x:c r="C11" s="380" t="str">
        <x:v>1 / 2 / 3 / 4 / 5</x:v>
      </x:c>
      <x:c r="D11" s="381" t="str">
        <x:v>后台保留连续分，前台展示整数等级</x:v>
      </x:c>
      <x:c r="E11" s="372"/>
      <x:c r="F11" s="372"/>
      <x:c r="G11" s="372"/>
      <x:c r="H11" s="372"/>
      <x:c r="I11" s="379" t="str">
        <x:v>矩阵综合风险</x:v>
      </x:c>
      <x:c r="J11" s="380" t="str">
        <x:f>INDEX($B$4:$F$8,MATCH(J8,$A$4:$A$8,0),MATCH(J10,$B$3:$F$3,0))</x:f>
        <x:v>高</x:v>
      </x:c>
      <x:c r="K11" s="380"/>
      <x:c r="L11" s="381" t="str">
        <x:v>自动查表</x:v>
      </x:c>
    </x:row>
    <x:row r="12">
      <x:c r="A12" s="379" t="str">
        <x:v>Impact</x:v>
      </x:c>
      <x:c r="B12" s="380" t="str">
        <x:v>按各三级风险专属Impact阈值评分</x:v>
      </x:c>
      <x:c r="C12" s="380" t="str">
        <x:v>1–5</x:v>
      </x:c>
      <x:c r="D12" s="381" t="str">
        <x:v>重大后果叠加Floor规则</x:v>
      </x:c>
      <x:c r="E12" s="372"/>
      <x:c r="F12" s="372"/>
      <x:c r="G12" s="372"/>
      <x:c r="H12" s="372"/>
      <x:c r="I12" s="379" t="str">
        <x:v>红线触发</x:v>
      </x:c>
      <x:c r="J12" s="380" t="str">
        <x:v>否</x:v>
      </x:c>
      <x:c r="K12" s="380"/>
      <x:c r="L12" s="381" t="str">
        <x:v>是/否</x:v>
      </x:c>
    </x:row>
    <x:row r="13">
      <x:c r="A13" s="379" t="str">
        <x:v>综合风险</x:v>
      </x:c>
      <x:c r="B13" s="380" t="str">
        <x:v>使用上方5×5矩阵，不建议仅按L×I乘积切段</x:v>
      </x:c>
      <x:c r="C13" s="380" t="str">
        <x:v>低/中/高</x:v>
      </x:c>
      <x:c r="D13" s="381" t="str">
        <x:v>避免低概率高影响被错误判低</x:v>
      </x:c>
      <x:c r="E13" s="372"/>
      <x:c r="F13" s="372"/>
      <x:c r="G13" s="372"/>
      <x:c r="H13" s="372"/>
      <x:c r="I13" s="379" t="str">
        <x:v>最终风险</x:v>
      </x:c>
      <x:c r="J13" s="380" t="str">
        <x:f>IF(J12="是","高",J11)</x:f>
        <x:v>高</x:v>
      </x:c>
      <x:c r="K13" s="380"/>
      <x:c r="L13" s="381" t="str">
        <x:v>红线优先</x:v>
      </x:c>
    </x:row>
    <x:row r="14">
      <x:c r="A14" s="379" t="str">
        <x:v>红线Override</x:v>
      </x:c>
      <x:c r="B14" s="380" t="str">
        <x:v>战争、制裁命中、征收、核心许可失败、资金禁止汇出等</x:v>
      </x:c>
      <x:c r="C14" s="380" t="str">
        <x:v>直接高或设置最低L/I</x:v>
      </x:c>
      <x:c r="D14" s="381" t="str">
        <x:v>红线优先于普通加权结果</x:v>
      </x:c>
      <x:c r="E14" s="372"/>
      <x:c r="F14" s="372"/>
      <x:c r="G14" s="372"/>
      <x:c r="H14" s="372"/>
      <x:c r="I14" s="379"/>
      <x:c r="J14" s="380"/>
      <x:c r="K14" s="380"/>
      <x:c r="L14" s="381"/>
    </x:row>
    <x:row r="15">
      <x:c r="A15" s="379" t="str">
        <x:v>Trend</x:v>
      </x:c>
      <x:c r="B15" s="380" t="str">
        <x:v>显著改善/改善/稳定/恶化/显著恶化</x:v>
      </x:c>
      <x:c r="C15" s="380" t="str">
        <x:v>1–5</x:v>
      </x:c>
      <x:c r="D15" s="381" t="str">
        <x:v>指标方向需统一：分数越高风险越高</x:v>
      </x:c>
      <x:c r="E15" s="372"/>
      <x:c r="F15" s="372"/>
      <x:c r="G15" s="372"/>
      <x:c r="H15" s="372"/>
      <x:c r="I15" s="385" t="str">
        <x:v>Confidence评分</x:v>
      </x:c>
      <x:c r="J15" s="386" t="str">
        <x:v>评分</x:v>
      </x:c>
      <x:c r="K15" s="386" t="str">
        <x:v>权重</x:v>
      </x:c>
      <x:c r="L15" s="387" t="str">
        <x:v>说明</x:v>
      </x:c>
    </x:row>
    <x:row r="16">
      <x:c r="A16" s="379" t="str">
        <x:v>Event</x:v>
      </x:c>
      <x:c r="B16" s="380" t="str">
        <x:v>未来6–12个月明确触发事件</x:v>
      </x:c>
      <x:c r="C16" s="380" t="str">
        <x:v>1–5</x:v>
      </x:c>
      <x:c r="D16" s="381" t="str">
        <x:v>事件驱动风险可提高Event权重</x:v>
      </x:c>
      <x:c r="E16" s="372"/>
      <x:c r="F16" s="372"/>
      <x:c r="G16" s="372"/>
      <x:c r="H16" s="372"/>
      <x:c r="I16" s="379" t="str">
        <x:v>数据新鲜度</x:v>
      </x:c>
      <x:c r="J16" s="380" t="n">
        <x:v>5</x:v>
      </x:c>
      <x:c r="K16" s="380" t="str">
        <x:v>30%</x:v>
      </x:c>
      <x:c r="L16" s="381" t="str">
        <x:v>≤3个月=5；3–6月=4；6–12月=3；1–2年=2；&gt;2年=1</x:v>
      </x:c>
    </x:row>
    <x:row r="17">
      <x:c r="A17" s="382" t="str">
        <x:v>Confidence</x:v>
      </x:c>
      <x:c r="B17" s="383" t="str">
        <x:v>数据新鲜度+权威性+完整度+多源一致性</x:v>
      </x:c>
      <x:c r="C17" s="383" t="str">
        <x:v>高/中/低</x:v>
      </x:c>
      <x:c r="D17" s="384" t="str">
        <x:v>不改变风险本身，作为结果可信度标签</x:v>
      </x:c>
      <x:c r="E17" s="372"/>
      <x:c r="F17" s="372"/>
      <x:c r="G17" s="372"/>
      <x:c r="H17" s="372"/>
      <x:c r="I17" s="379" t="str">
        <x:v>来源权威性</x:v>
      </x:c>
      <x:c r="J17" s="380" t="n">
        <x:v>5</x:v>
      </x:c>
      <x:c r="K17" s="380" t="str">
        <x:v>30%</x:v>
      </x:c>
      <x:c r="L17" s="381" t="str">
        <x:v>官方/国际组织=5；权威商业数据库=4；专业机构=3；媒体=2；单一非权威来源=1</x:v>
      </x:c>
    </x:row>
    <x:row r="18">
      <x:c r="A18" s="372"/>
      <x:c r="B18" s="372"/>
      <x:c r="C18" s="372"/>
      <x:c r="D18" s="372"/>
      <x:c r="E18" s="372"/>
      <x:c r="F18" s="372"/>
      <x:c r="G18" s="372"/>
      <x:c r="H18" s="372"/>
      <x:c r="I18" s="379" t="str">
        <x:v>指标完整度</x:v>
      </x:c>
      <x:c r="J18" s="380" t="n">
        <x:v>4</x:v>
      </x:c>
      <x:c r="K18" s="380" t="str">
        <x:v>25%</x:v>
      </x:c>
      <x:c r="L18" s="381" t="str">
        <x:v>可用指标占计划指标比例映射1–5</x:v>
      </x:c>
    </x:row>
    <x:row r="19">
      <x:c r="A19" s="372"/>
      <x:c r="B19" s="372"/>
      <x:c r="C19" s="372"/>
      <x:c r="D19" s="372"/>
      <x:c r="E19" s="372"/>
      <x:c r="F19" s="372"/>
      <x:c r="G19" s="372"/>
      <x:c r="H19" s="372"/>
      <x:c r="I19" s="379" t="str">
        <x:v>多源一致性</x:v>
      </x:c>
      <x:c r="J19" s="380" t="n">
        <x:v>4</x:v>
      </x:c>
      <x:c r="K19" s="380" t="str">
        <x:v>15%</x:v>
      </x:c>
      <x:c r="L19" s="381" t="str">
        <x:v>多来源结论一致程度映射1–5</x:v>
      </x:c>
    </x:row>
    <x:row r="20">
      <x:c r="A20" s="372"/>
      <x:c r="B20" s="372"/>
      <x:c r="C20" s="372"/>
      <x:c r="D20" s="372"/>
      <x:c r="E20" s="372"/>
      <x:c r="F20" s="372"/>
      <x:c r="G20" s="372"/>
      <x:c r="H20" s="372"/>
      <x:c r="I20" s="379" t="str">
        <x:v>Confidence连续分</x:v>
      </x:c>
      <x:c r="J20" s="380" t="n">
        <x:f>J16*30%+J17*30%+J18*25%+J19*15%</x:f>
        <x:v>4.6</x:v>
      </x:c>
      <x:c r="K20" s="380"/>
      <x:c r="L20" s="381" t="str"/>
    </x:row>
    <x:row r="21">
      <x:c r="A21" s="372"/>
      <x:c r="B21" s="372"/>
      <x:c r="C21" s="372"/>
      <x:c r="D21" s="372"/>
      <x:c r="E21" s="372"/>
      <x:c r="F21" s="372"/>
      <x:c r="G21" s="372"/>
      <x:c r="H21" s="372"/>
      <x:c r="I21" s="382" t="str">
        <x:v>Confidence等级</x:v>
      </x:c>
      <x:c r="J21" s="383" t="str">
        <x:f>IF(J20&gt;=4,"高",IF(J20&gt;=2.5,"中","低"))</x:f>
        <x:v>高</x:v>
      </x:c>
      <x:c r="K21" s="383"/>
      <x:c r="L21" s="384" t="str">
        <x:v>≥4=高；2.5–&lt;4=中；&lt;2.5=低</x:v>
      </x:c>
    </x:row>
  </x:sheetData>
  <x:mergeCells>
    <x:mergeCell ref="A1:H1"/>
  </x:mergeCells>
  <x:conditionalFormatting sqref="J13:J13">
    <x:cfRule type="expression" dxfId="1" priority="2">
      <x:formula>B4="高"</x:formula>
    </x:cfRule>
    <x:cfRule type="expression" dxfId="5" priority="6">
      <x:formula>J13="高"</x:formula>
    </x:cfRule>
    <x:cfRule type="expression" dxfId="6" priority="7">
      <x:formula>J13="中"</x:formula>
    </x:cfRule>
    <x:cfRule type="expression" dxfId="7" priority="8">
      <x:formula>J13="低"</x:formula>
    </x:cfRule>
  </x:conditionalFormatting>
  <x:conditionalFormatting sqref="B4:F8">
    <x:cfRule type="expression" dxfId="2" priority="3">
      <x:formula>B4="高"</x:formula>
    </x:cfRule>
    <x:cfRule type="expression" dxfId="3" priority="4">
      <x:formula>B4="中"</x:formula>
    </x:cfRule>
    <x:cfRule type="expression" dxfId="4" priority="5">
      <x:formula>B4="低"</x:formula>
    </x:cfRule>
  </x:conditionalFormatting>
  <x:dataValidations count="1">
    <x:dataValidation type="list" sqref="J12">
      <x:formula1>"否,是"</x:formula1>
    </x:dataValidation>
  </x:dataValidations>
  <x:pageMargins left="0.7" right="0.7" top="0.75" bottom="0.75" header="0.3" footer="0.3"/>
</x:worksheet>
</file>